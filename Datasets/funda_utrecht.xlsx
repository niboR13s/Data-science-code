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lo/Documents/Data science/Datasets/"/>
    </mc:Choice>
  </mc:AlternateContent>
  <xr:revisionPtr revIDLastSave="0" documentId="13_ncr:1_{DE35FCA3-0289-DA40-BE91-057A617F1425}" xr6:coauthVersionLast="36" xr6:coauthVersionMax="36" xr10:uidLastSave="{00000000-0000-0000-0000-000000000000}"/>
  <bookViews>
    <workbookView xWindow="-50640" yWindow="3420" windowWidth="33600" windowHeight="20540" xr2:uid="{00000000-000D-0000-FFFF-FFFF00000000}"/>
  </bookViews>
  <sheets>
    <sheet name="funda_utrecht" sheetId="1" r:id="rId1"/>
  </sheets>
  <calcPr calcId="162913"/>
</workbook>
</file>

<file path=xl/calcChain.xml><?xml version="1.0" encoding="utf-8"?>
<calcChain xmlns="http://schemas.openxmlformats.org/spreadsheetml/2006/main">
  <c r="J629" i="1" l="1"/>
  <c r="J360" i="1"/>
  <c r="J923" i="1"/>
  <c r="J625" i="1"/>
  <c r="J120" i="1"/>
  <c r="J16" i="1"/>
  <c r="J826" i="1"/>
  <c r="I805" i="1"/>
  <c r="J805" i="1" s="1"/>
  <c r="I393" i="1"/>
  <c r="J393" i="1" s="1"/>
  <c r="I234" i="1"/>
  <c r="J234" i="1" s="1"/>
  <c r="I857" i="1"/>
  <c r="J857" i="1" s="1"/>
  <c r="I464" i="1"/>
  <c r="J464" i="1" s="1"/>
  <c r="I563" i="1"/>
  <c r="J563" i="1" s="1"/>
  <c r="I275" i="1"/>
  <c r="J275" i="1" s="1"/>
  <c r="I713" i="1"/>
  <c r="J713" i="1" s="1"/>
  <c r="I186" i="1"/>
  <c r="J186" i="1" s="1"/>
  <c r="I778" i="1"/>
  <c r="J778" i="1" s="1"/>
  <c r="I294" i="1"/>
  <c r="J294" i="1" s="1"/>
  <c r="I274" i="1"/>
  <c r="J274" i="1" s="1"/>
  <c r="I441" i="1"/>
  <c r="J441" i="1" s="1"/>
  <c r="I829" i="1"/>
  <c r="J829" i="1" s="1"/>
  <c r="I338" i="1"/>
  <c r="J338" i="1" s="1"/>
  <c r="I624" i="1"/>
  <c r="J624" i="1" s="1"/>
  <c r="I68" i="1"/>
  <c r="J68" i="1" s="1"/>
  <c r="I337" i="1"/>
  <c r="J337" i="1" s="1"/>
  <c r="I712" i="1"/>
  <c r="J712" i="1" s="1"/>
  <c r="I549" i="1"/>
  <c r="J549" i="1" s="1"/>
  <c r="I456" i="1"/>
  <c r="J456" i="1" s="1"/>
  <c r="I646" i="1"/>
  <c r="J646" i="1" s="1"/>
  <c r="I608" i="1"/>
  <c r="J608" i="1" s="1"/>
  <c r="I307" i="1"/>
  <c r="J307" i="1" s="1"/>
  <c r="I711" i="1"/>
  <c r="J711" i="1" s="1"/>
  <c r="I226" i="1"/>
  <c r="J226" i="1" s="1"/>
  <c r="I269" i="1"/>
  <c r="J269" i="1" s="1"/>
  <c r="I31" i="1"/>
  <c r="J31" i="1" s="1"/>
  <c r="I538" i="1"/>
  <c r="J538" i="1" s="1"/>
  <c r="I327" i="1"/>
  <c r="J327" i="1" s="1"/>
  <c r="I64" i="1"/>
  <c r="J64" i="1" s="1"/>
  <c r="I306" i="1"/>
  <c r="J306" i="1" s="1"/>
  <c r="I928" i="1"/>
  <c r="J928" i="1" s="1"/>
  <c r="I70" i="1"/>
  <c r="J70" i="1" s="1"/>
  <c r="I69" i="1"/>
  <c r="J69" i="1" s="1"/>
  <c r="I920" i="1"/>
  <c r="J920" i="1" s="1"/>
  <c r="I528" i="1"/>
  <c r="J528" i="1" s="1"/>
  <c r="I45" i="1"/>
  <c r="J45" i="1" s="1"/>
  <c r="I386" i="1"/>
  <c r="J386" i="1" s="1"/>
  <c r="I414" i="1"/>
  <c r="J414" i="1" s="1"/>
  <c r="I677" i="1"/>
  <c r="J677" i="1" s="1"/>
  <c r="I623" i="1"/>
  <c r="J623" i="1" s="1"/>
  <c r="I737" i="1"/>
  <c r="J737" i="1" s="1"/>
  <c r="I578" i="1"/>
  <c r="J578" i="1" s="1"/>
  <c r="I293" i="1"/>
  <c r="J293" i="1" s="1"/>
  <c r="I790" i="1"/>
  <c r="J790" i="1" s="1"/>
  <c r="I808" i="1"/>
  <c r="J808" i="1" s="1"/>
  <c r="I718" i="1"/>
  <c r="J718" i="1" s="1"/>
  <c r="I645" i="1"/>
  <c r="J645" i="1" s="1"/>
  <c r="I833" i="1"/>
  <c r="J833" i="1" s="1"/>
  <c r="I615" i="1"/>
  <c r="J615" i="1" s="1"/>
  <c r="I283" i="1"/>
  <c r="J283" i="1" s="1"/>
  <c r="I527" i="1"/>
  <c r="J527" i="1" s="1"/>
  <c r="I765" i="1"/>
  <c r="J765" i="1" s="1"/>
  <c r="I63" i="1"/>
  <c r="J63" i="1" s="1"/>
  <c r="I315" i="1"/>
  <c r="J315" i="1" s="1"/>
  <c r="I314" i="1"/>
  <c r="J314" i="1" s="1"/>
  <c r="I548" i="1"/>
  <c r="J548" i="1" s="1"/>
  <c r="I814" i="1"/>
  <c r="J814" i="1" s="1"/>
  <c r="I799" i="1"/>
  <c r="J799" i="1" s="1"/>
  <c r="I363" i="1"/>
  <c r="J363" i="1" s="1"/>
  <c r="I601" i="1"/>
  <c r="J601" i="1" s="1"/>
  <c r="I583" i="1"/>
  <c r="J583" i="1" s="1"/>
  <c r="I755" i="1"/>
  <c r="J755" i="1" s="1"/>
  <c r="I445" i="1"/>
  <c r="J445" i="1" s="1"/>
  <c r="I292" i="1"/>
  <c r="J292" i="1" s="1"/>
  <c r="I346" i="1"/>
  <c r="J346" i="1" s="1"/>
  <c r="I636" i="1"/>
  <c r="J636" i="1" s="1"/>
  <c r="I428" i="1"/>
  <c r="J428" i="1" s="1"/>
  <c r="I345" i="1"/>
  <c r="J345" i="1" s="1"/>
  <c r="I30" i="1"/>
  <c r="J30" i="1" s="1"/>
  <c r="I20" i="1"/>
  <c r="J20" i="1" s="1"/>
  <c r="I291" i="1"/>
  <c r="J291" i="1" s="1"/>
  <c r="I504" i="1"/>
  <c r="J504" i="1" s="1"/>
  <c r="I902" i="1"/>
  <c r="J902" i="1" s="1"/>
  <c r="I491" i="1"/>
  <c r="J491" i="1" s="1"/>
  <c r="I151" i="1"/>
  <c r="J151" i="1" s="1"/>
  <c r="I622" i="1"/>
  <c r="J622" i="1" s="1"/>
  <c r="I167" i="1"/>
  <c r="J167" i="1" s="1"/>
  <c r="I282" i="1"/>
  <c r="J282" i="1" s="1"/>
  <c r="I515" i="1"/>
  <c r="J515" i="1" s="1"/>
  <c r="I490" i="1"/>
  <c r="J490" i="1" s="1"/>
  <c r="I514" i="1"/>
  <c r="J514" i="1" s="1"/>
  <c r="I378" i="1"/>
  <c r="J378" i="1" s="1"/>
  <c r="I362" i="1"/>
  <c r="J362" i="1" s="1"/>
  <c r="I698" i="1"/>
  <c r="J698" i="1" s="1"/>
  <c r="I290" i="1"/>
  <c r="J290" i="1" s="1"/>
  <c r="I478" i="1"/>
  <c r="J478" i="1" s="1"/>
  <c r="I644" i="1"/>
  <c r="J644" i="1" s="1"/>
  <c r="I6" i="1"/>
  <c r="J6" i="1" s="1"/>
  <c r="I205" i="1"/>
  <c r="J205" i="1" s="1"/>
  <c r="I214" i="1"/>
  <c r="J214" i="1" s="1"/>
  <c r="I29" i="1"/>
  <c r="J29" i="1" s="1"/>
  <c r="I336" i="1"/>
  <c r="J336" i="1" s="1"/>
  <c r="I537" i="1"/>
  <c r="J537" i="1" s="1"/>
  <c r="I847" i="1"/>
  <c r="J847" i="1" s="1"/>
  <c r="I908" i="1"/>
  <c r="J908" i="1" s="1"/>
  <c r="I655" i="1"/>
  <c r="J655" i="1" s="1"/>
  <c r="I305" i="1"/>
  <c r="J305" i="1" s="1"/>
  <c r="I796" i="1"/>
  <c r="J796" i="1" s="1"/>
  <c r="I899" i="1"/>
  <c r="J899" i="1" s="1"/>
  <c r="I313" i="1"/>
  <c r="J313" i="1" s="1"/>
  <c r="I427" i="1"/>
  <c r="J427" i="1" s="1"/>
  <c r="I547" i="1"/>
  <c r="J547" i="1" s="1"/>
  <c r="I128" i="1"/>
  <c r="J128" i="1" s="1"/>
  <c r="I118" i="1"/>
  <c r="J118" i="1" s="1"/>
  <c r="I233" i="1"/>
  <c r="J233" i="1" s="1"/>
  <c r="I546" i="1"/>
  <c r="J546" i="1" s="1"/>
  <c r="I635" i="1"/>
  <c r="J635" i="1" s="1"/>
  <c r="I634" i="1"/>
  <c r="J634" i="1" s="1"/>
  <c r="I67" i="1"/>
  <c r="J67" i="1" s="1"/>
  <c r="I607" i="1"/>
  <c r="J607" i="1" s="1"/>
  <c r="I751" i="1"/>
  <c r="J751" i="1" s="1"/>
  <c r="I66" i="1"/>
  <c r="J66" i="1" s="1"/>
  <c r="I117" i="1"/>
  <c r="J117" i="1" s="1"/>
  <c r="I526" i="1"/>
  <c r="J526" i="1" s="1"/>
  <c r="I477" i="1"/>
  <c r="J477" i="1" s="1"/>
  <c r="I470" i="1"/>
  <c r="J470" i="1" s="1"/>
  <c r="I127" i="1"/>
  <c r="J127" i="1" s="1"/>
  <c r="I101" i="1"/>
  <c r="J101" i="1" s="1"/>
  <c r="I687" i="1"/>
  <c r="J687" i="1" s="1"/>
  <c r="I704" i="1"/>
  <c r="J704" i="1" s="1"/>
  <c r="I476" i="1"/>
  <c r="J476" i="1" s="1"/>
  <c r="I860" i="1"/>
  <c r="J860" i="1" s="1"/>
  <c r="I839" i="1"/>
  <c r="J839" i="1" s="1"/>
  <c r="I281" i="1"/>
  <c r="J281" i="1" s="1"/>
  <c r="I268" i="1"/>
  <c r="J268" i="1" s="1"/>
  <c r="I194" i="1"/>
  <c r="J194" i="1" s="1"/>
  <c r="I377" i="1"/>
  <c r="J377" i="1" s="1"/>
  <c r="I426" i="1"/>
  <c r="J426" i="1" s="1"/>
  <c r="I631" i="1"/>
  <c r="J631" i="1" s="1"/>
  <c r="I47" i="1"/>
  <c r="J47" i="1" s="1"/>
  <c r="I630" i="1"/>
  <c r="J630" i="1" s="1"/>
  <c r="I750" i="1"/>
  <c r="J750" i="1" s="1"/>
  <c r="I686" i="1"/>
  <c r="J686" i="1" s="1"/>
  <c r="I455" i="1"/>
  <c r="J455" i="1" s="1"/>
  <c r="I98" i="1"/>
  <c r="J98" i="1" s="1"/>
  <c r="I185" i="1"/>
  <c r="J185" i="1" s="1"/>
  <c r="I856" i="1"/>
  <c r="J856" i="1" s="1"/>
  <c r="I821" i="1"/>
  <c r="J821" i="1" s="1"/>
  <c r="I2" i="1"/>
  <c r="J2" i="1" s="1"/>
  <c r="I925" i="1"/>
  <c r="J925" i="1" s="1"/>
  <c r="I562" i="1"/>
  <c r="J562" i="1" s="1"/>
  <c r="I503" i="1"/>
  <c r="J503" i="1" s="1"/>
  <c r="I749" i="1"/>
  <c r="J749" i="1" s="1"/>
  <c r="I44" i="1"/>
  <c r="J44" i="1" s="1"/>
  <c r="I558" i="1"/>
  <c r="J558" i="1" s="1"/>
  <c r="I863" i="1"/>
  <c r="J863" i="1" s="1"/>
  <c r="I57" i="1"/>
  <c r="J57" i="1" s="1"/>
  <c r="I545" i="1"/>
  <c r="J545" i="1" s="1"/>
  <c r="I232" i="1"/>
  <c r="J232" i="1" s="1"/>
  <c r="I825" i="1"/>
  <c r="J825" i="1" s="1"/>
  <c r="I162" i="1"/>
  <c r="J162" i="1" s="1"/>
  <c r="I845" i="1"/>
  <c r="J845" i="1" s="1"/>
  <c r="I886" i="1"/>
  <c r="J886" i="1" s="1"/>
  <c r="I385" i="1"/>
  <c r="J385" i="1" s="1"/>
  <c r="I425" i="1"/>
  <c r="J425" i="1" s="1"/>
  <c r="I536" i="1"/>
  <c r="J536" i="1" s="1"/>
  <c r="I397" i="1"/>
  <c r="J397" i="1" s="1"/>
  <c r="I764" i="1"/>
  <c r="J764" i="1" s="1"/>
  <c r="I413" i="1"/>
  <c r="J413" i="1" s="1"/>
  <c r="I161" i="1"/>
  <c r="J161" i="1" s="1"/>
  <c r="I116" i="1"/>
  <c r="J116" i="1" s="1"/>
  <c r="I848" i="1"/>
  <c r="J848" i="1" s="1"/>
  <c r="I777" i="1"/>
  <c r="J777" i="1" s="1"/>
  <c r="I213" i="1"/>
  <c r="J213" i="1" s="1"/>
  <c r="I43" i="1"/>
  <c r="J43" i="1" s="1"/>
  <c r="I463" i="1"/>
  <c r="J463" i="1" s="1"/>
  <c r="I289" i="1"/>
  <c r="J289" i="1" s="1"/>
  <c r="I77" i="1"/>
  <c r="J77" i="1" s="1"/>
  <c r="I629" i="1"/>
  <c r="I424" i="1"/>
  <c r="J424" i="1" s="1"/>
  <c r="I544" i="1"/>
  <c r="J544" i="1" s="1"/>
  <c r="I150" i="1"/>
  <c r="J150" i="1" s="1"/>
  <c r="I184" i="1"/>
  <c r="J184" i="1" s="1"/>
  <c r="I894" i="1"/>
  <c r="J894" i="1" s="1"/>
  <c r="I703" i="1"/>
  <c r="J703" i="1" s="1"/>
  <c r="I54" i="1"/>
  <c r="J54" i="1" s="1"/>
  <c r="I502" i="1"/>
  <c r="J502" i="1" s="1"/>
  <c r="I824" i="1"/>
  <c r="J824" i="1" s="1"/>
  <c r="I903" i="1"/>
  <c r="J903" i="1" s="1"/>
  <c r="I469" i="1"/>
  <c r="J469" i="1" s="1"/>
  <c r="I600" i="1"/>
  <c r="J600" i="1" s="1"/>
  <c r="I33" i="1"/>
  <c r="J33" i="1" s="1"/>
  <c r="I19" i="1"/>
  <c r="J19" i="1" s="1"/>
  <c r="I614" i="1"/>
  <c r="J614" i="1" s="1"/>
  <c r="I93" i="1"/>
  <c r="J93" i="1" s="1"/>
  <c r="I613" i="1"/>
  <c r="J613" i="1" s="1"/>
  <c r="I782" i="1"/>
  <c r="J782" i="1" s="1"/>
  <c r="I8" i="1"/>
  <c r="J8" i="1" s="1"/>
  <c r="I823" i="1"/>
  <c r="J823" i="1" s="1"/>
  <c r="I931" i="1"/>
  <c r="J931" i="1" s="1"/>
  <c r="I906" i="1"/>
  <c r="J906" i="1" s="1"/>
  <c r="I273" i="1"/>
  <c r="J273" i="1" s="1"/>
  <c r="I183" i="1"/>
  <c r="J183" i="1" s="1"/>
  <c r="I855" i="1"/>
  <c r="J855" i="1" s="1"/>
  <c r="I126" i="1"/>
  <c r="J126" i="1" s="1"/>
  <c r="I489" i="1"/>
  <c r="J489" i="1" s="1"/>
  <c r="I896" i="1"/>
  <c r="J896" i="1" s="1"/>
  <c r="I115" i="1"/>
  <c r="J115" i="1" s="1"/>
  <c r="I23" i="1"/>
  <c r="J23" i="1" s="1"/>
  <c r="I440" i="1"/>
  <c r="J440" i="1" s="1"/>
  <c r="I251" i="1"/>
  <c r="J251" i="1" s="1"/>
  <c r="I439" i="1"/>
  <c r="J439" i="1" s="1"/>
  <c r="I710" i="1"/>
  <c r="J710" i="1" s="1"/>
  <c r="I801" i="1"/>
  <c r="J801" i="1" s="1"/>
  <c r="I335" i="1"/>
  <c r="J335" i="1" s="1"/>
  <c r="I475" i="1"/>
  <c r="J475" i="1" s="1"/>
  <c r="I462" i="1"/>
  <c r="J462" i="1" s="1"/>
  <c r="I773" i="1"/>
  <c r="J773" i="1" s="1"/>
  <c r="I56" i="1"/>
  <c r="J56" i="1" s="1"/>
  <c r="I501" i="1"/>
  <c r="J501" i="1" s="1"/>
  <c r="I174" i="1"/>
  <c r="J174" i="1" s="1"/>
  <c r="I763" i="1"/>
  <c r="J763" i="1" s="1"/>
  <c r="I596" i="1"/>
  <c r="J596" i="1" s="1"/>
  <c r="I344" i="1"/>
  <c r="J344" i="1" s="1"/>
  <c r="I438" i="1"/>
  <c r="J438" i="1" s="1"/>
  <c r="I525" i="1"/>
  <c r="J525" i="1" s="1"/>
  <c r="I149" i="1"/>
  <c r="J149" i="1" s="1"/>
  <c r="I606" i="1"/>
  <c r="J606" i="1" s="1"/>
  <c r="I83" i="1"/>
  <c r="J83" i="1" s="1"/>
  <c r="I789" i="1"/>
  <c r="J789" i="1" s="1"/>
  <c r="I60" i="1"/>
  <c r="J60" i="1" s="1"/>
  <c r="I900" i="1"/>
  <c r="J900" i="1" s="1"/>
  <c r="I535" i="1"/>
  <c r="J535" i="1" s="1"/>
  <c r="I647" i="1"/>
  <c r="J647" i="1" s="1"/>
  <c r="I663" i="1"/>
  <c r="J663" i="1" s="1"/>
  <c r="I42" i="1"/>
  <c r="J42" i="1" s="1"/>
  <c r="I695" i="1"/>
  <c r="J695" i="1" s="1"/>
  <c r="I488" i="1"/>
  <c r="J488" i="1" s="1"/>
  <c r="I910" i="1"/>
  <c r="J910" i="1" s="1"/>
  <c r="I594" i="1"/>
  <c r="J594" i="1" s="1"/>
  <c r="I557" i="1"/>
  <c r="J557" i="1" s="1"/>
  <c r="I212" i="1"/>
  <c r="J212" i="1" s="1"/>
  <c r="I412" i="1"/>
  <c r="J412" i="1" s="1"/>
  <c r="I204" i="1"/>
  <c r="J204" i="1" s="1"/>
  <c r="I46" i="1"/>
  <c r="J46" i="1" s="1"/>
  <c r="I654" i="1"/>
  <c r="J654" i="1" s="1"/>
  <c r="I621" i="1"/>
  <c r="J621" i="1" s="1"/>
  <c r="I844" i="1"/>
  <c r="J844" i="1" s="1"/>
  <c r="I612" i="1"/>
  <c r="J612" i="1" s="1"/>
  <c r="I437" i="1"/>
  <c r="J437" i="1" s="1"/>
  <c r="I304" i="1"/>
  <c r="J304" i="1" s="1"/>
  <c r="I423" i="1"/>
  <c r="J423" i="1" s="1"/>
  <c r="I148" i="1"/>
  <c r="J148" i="1" s="1"/>
  <c r="I106" i="1"/>
  <c r="J106" i="1" s="1"/>
  <c r="I717" i="1"/>
  <c r="J717" i="1" s="1"/>
  <c r="I841" i="1"/>
  <c r="J841" i="1" s="1"/>
  <c r="I422" i="1"/>
  <c r="J422" i="1" s="1"/>
  <c r="I125" i="1"/>
  <c r="J125" i="1" s="1"/>
  <c r="I303" i="1"/>
  <c r="J303" i="1" s="1"/>
  <c r="I852" i="1"/>
  <c r="J852" i="1" s="1"/>
  <c r="I461" i="1"/>
  <c r="J461" i="1" s="1"/>
  <c r="I5" i="1"/>
  <c r="J5" i="1" s="1"/>
  <c r="I76" i="1"/>
  <c r="J76" i="1" s="1"/>
  <c r="I454" i="1"/>
  <c r="J454" i="1" s="1"/>
  <c r="I881" i="1"/>
  <c r="J881" i="1" s="1"/>
  <c r="I882" i="1"/>
  <c r="J882" i="1" s="1"/>
  <c r="I62" i="1"/>
  <c r="J62" i="1" s="1"/>
  <c r="I140" i="1"/>
  <c r="J140" i="1" s="1"/>
  <c r="I838" i="1"/>
  <c r="J838" i="1" s="1"/>
  <c r="I460" i="1"/>
  <c r="J460" i="1" s="1"/>
  <c r="I376" i="1"/>
  <c r="J376" i="1" s="1"/>
  <c r="I865" i="1"/>
  <c r="J865" i="1" s="1"/>
  <c r="I793" i="1"/>
  <c r="J793" i="1" s="1"/>
  <c r="I53" i="1"/>
  <c r="J53" i="1" s="1"/>
  <c r="I873" i="1"/>
  <c r="J873" i="1" s="1"/>
  <c r="I421" i="1"/>
  <c r="J421" i="1" s="1"/>
  <c r="I124" i="1"/>
  <c r="J124" i="1" s="1"/>
  <c r="I267" i="1"/>
  <c r="J267" i="1" s="1"/>
  <c r="I100" i="1"/>
  <c r="J100" i="1" s="1"/>
  <c r="I361" i="1"/>
  <c r="J361" i="1" s="1"/>
  <c r="I843" i="1"/>
  <c r="J843" i="1" s="1"/>
  <c r="I436" i="1"/>
  <c r="J436" i="1" s="1"/>
  <c r="I225" i="1"/>
  <c r="J225" i="1" s="1"/>
  <c r="I577" i="1"/>
  <c r="J577" i="1" s="1"/>
  <c r="I334" i="1"/>
  <c r="J334" i="1" s="1"/>
  <c r="I668" i="1"/>
  <c r="J668" i="1" s="1"/>
  <c r="I768" i="1"/>
  <c r="J768" i="1" s="1"/>
  <c r="I653" i="1"/>
  <c r="J653" i="1" s="1"/>
  <c r="I816" i="1"/>
  <c r="J816" i="1" s="1"/>
  <c r="I676" i="1"/>
  <c r="J676" i="1" s="1"/>
  <c r="I554" i="1"/>
  <c r="J554" i="1" s="1"/>
  <c r="I746" i="1"/>
  <c r="J746" i="1" s="1"/>
  <c r="I620" i="1"/>
  <c r="J620" i="1" s="1"/>
  <c r="I561" i="1"/>
  <c r="J561" i="1" s="1"/>
  <c r="I420" i="1"/>
  <c r="J420" i="1" s="1"/>
  <c r="I723" i="1"/>
  <c r="J723" i="1" s="1"/>
  <c r="I487" i="1"/>
  <c r="J487" i="1" s="1"/>
  <c r="I75" i="1"/>
  <c r="J75" i="1" s="1"/>
  <c r="I628" i="1"/>
  <c r="J628" i="1" s="1"/>
  <c r="I326" i="1"/>
  <c r="J326" i="1" s="1"/>
  <c r="I240" i="1"/>
  <c r="J240" i="1" s="1"/>
  <c r="I139" i="1"/>
  <c r="J139" i="1" s="1"/>
  <c r="I74" i="1"/>
  <c r="J74" i="1" s="1"/>
  <c r="I662" i="1"/>
  <c r="J662" i="1" s="1"/>
  <c r="I486" i="1"/>
  <c r="J486" i="1" s="1"/>
  <c r="I722" i="1"/>
  <c r="J722" i="1" s="1"/>
  <c r="I138" i="1"/>
  <c r="J138" i="1" s="1"/>
  <c r="I804" i="1"/>
  <c r="J804" i="1" s="1"/>
  <c r="I7" i="1"/>
  <c r="J7" i="1" s="1"/>
  <c r="I392" i="1"/>
  <c r="J392" i="1" s="1"/>
  <c r="I435" i="1"/>
  <c r="J435" i="1" s="1"/>
  <c r="I729" i="1"/>
  <c r="J729" i="1" s="1"/>
  <c r="I803" i="1"/>
  <c r="J803" i="1" s="1"/>
  <c r="I302" i="1"/>
  <c r="J302" i="1" s="1"/>
  <c r="I343" i="1"/>
  <c r="J343" i="1" s="1"/>
  <c r="I895" i="1"/>
  <c r="J895" i="1" s="1"/>
  <c r="I231" i="1"/>
  <c r="J231" i="1" s="1"/>
  <c r="I78" i="1"/>
  <c r="J78" i="1" s="1"/>
  <c r="I919" i="1"/>
  <c r="J919" i="1" s="1"/>
  <c r="I770" i="1"/>
  <c r="J770" i="1" s="1"/>
  <c r="I250" i="1"/>
  <c r="J250" i="1" s="1"/>
  <c r="I193" i="1"/>
  <c r="J193" i="1" s="1"/>
  <c r="I105" i="1"/>
  <c r="J105" i="1" s="1"/>
  <c r="I51" i="1"/>
  <c r="J51" i="1" s="1"/>
  <c r="I619" i="1"/>
  <c r="J619" i="1" s="1"/>
  <c r="I694" i="1"/>
  <c r="J694" i="1" s="1"/>
  <c r="I732" i="1"/>
  <c r="J732" i="1" s="1"/>
  <c r="I166" i="1"/>
  <c r="J166" i="1" s="1"/>
  <c r="I301" i="1"/>
  <c r="J301" i="1" s="1"/>
  <c r="I266" i="1"/>
  <c r="J266" i="1" s="1"/>
  <c r="I807" i="1"/>
  <c r="J807" i="1" s="1"/>
  <c r="I211" i="1"/>
  <c r="J211" i="1" s="1"/>
  <c r="I500" i="1"/>
  <c r="J500" i="1" s="1"/>
  <c r="I354" i="1"/>
  <c r="J354" i="1" s="1"/>
  <c r="I219" i="1"/>
  <c r="J219" i="1" s="1"/>
  <c r="I182" i="1"/>
  <c r="J182" i="1" s="1"/>
  <c r="I265" i="1"/>
  <c r="J265" i="1" s="1"/>
  <c r="I453" i="1"/>
  <c r="J453" i="1" s="1"/>
  <c r="I218" i="1"/>
  <c r="J218" i="1" s="1"/>
  <c r="I264" i="1"/>
  <c r="J264" i="1" s="1"/>
  <c r="I165" i="1"/>
  <c r="J165" i="1" s="1"/>
  <c r="I164" i="1"/>
  <c r="J164" i="1" s="1"/>
  <c r="I474" i="1"/>
  <c r="J474" i="1" s="1"/>
  <c r="I473" i="1"/>
  <c r="J473" i="1" s="1"/>
  <c r="I360" i="1"/>
  <c r="I709" i="1"/>
  <c r="J709" i="1" s="1"/>
  <c r="I224" i="1"/>
  <c r="J224" i="1" s="1"/>
  <c r="I627" i="1"/>
  <c r="J627" i="1" s="1"/>
  <c r="I333" i="1"/>
  <c r="J333" i="1" s="1"/>
  <c r="I375" i="1"/>
  <c r="J375" i="1" s="1"/>
  <c r="I203" i="1"/>
  <c r="J203" i="1" s="1"/>
  <c r="I411" i="1"/>
  <c r="J411" i="1" s="1"/>
  <c r="I693" i="1"/>
  <c r="J693" i="1" s="1"/>
  <c r="I202" i="1"/>
  <c r="J202" i="1" s="1"/>
  <c r="I223" i="1"/>
  <c r="J223" i="1" s="1"/>
  <c r="I147" i="1"/>
  <c r="J147" i="1" s="1"/>
  <c r="I748" i="1"/>
  <c r="J748" i="1" s="1"/>
  <c r="I802" i="1"/>
  <c r="J802" i="1" s="1"/>
  <c r="I87" i="1"/>
  <c r="J87" i="1" s="1"/>
  <c r="I332" i="1"/>
  <c r="J332" i="1" s="1"/>
  <c r="I781" i="1"/>
  <c r="J781" i="1" s="1"/>
  <c r="I263" i="1"/>
  <c r="J263" i="1" s="1"/>
  <c r="I210" i="1"/>
  <c r="J210" i="1" s="1"/>
  <c r="I569" i="1"/>
  <c r="J569" i="1" s="1"/>
  <c r="I92" i="1"/>
  <c r="J92" i="1" s="1"/>
  <c r="I374" i="1"/>
  <c r="J374" i="1" s="1"/>
  <c r="I452" i="1"/>
  <c r="J452" i="1" s="1"/>
  <c r="I618" i="1"/>
  <c r="J618" i="1" s="1"/>
  <c r="I160" i="1"/>
  <c r="J160" i="1" s="1"/>
  <c r="I556" i="1"/>
  <c r="J556" i="1" s="1"/>
  <c r="I373" i="1"/>
  <c r="J373" i="1" s="1"/>
  <c r="I934" i="1"/>
  <c r="J934" i="1" s="1"/>
  <c r="I272" i="1"/>
  <c r="J272" i="1" s="1"/>
  <c r="I419" i="1"/>
  <c r="J419" i="1" s="1"/>
  <c r="I239" i="1"/>
  <c r="J239" i="1" s="1"/>
  <c r="I123" i="1"/>
  <c r="J123" i="1" s="1"/>
  <c r="I18" i="1"/>
  <c r="J18" i="1" s="1"/>
  <c r="I576" i="1"/>
  <c r="J576" i="1" s="1"/>
  <c r="I288" i="1"/>
  <c r="J288" i="1" s="1"/>
  <c r="I468" i="1"/>
  <c r="J468" i="1" s="1"/>
  <c r="I593" i="1"/>
  <c r="J593" i="1" s="1"/>
  <c r="I159" i="1"/>
  <c r="J159" i="1" s="1"/>
  <c r="I485" i="1"/>
  <c r="J485" i="1" s="1"/>
  <c r="I137" i="1"/>
  <c r="J137" i="1" s="1"/>
  <c r="I745" i="1"/>
  <c r="J745" i="1" s="1"/>
  <c r="I262" i="1"/>
  <c r="J262" i="1" s="1"/>
  <c r="I136" i="1"/>
  <c r="J136" i="1" s="1"/>
  <c r="I534" i="1"/>
  <c r="J534" i="1" s="1"/>
  <c r="I767" i="1"/>
  <c r="J767" i="1" s="1"/>
  <c r="I391" i="1"/>
  <c r="J391" i="1" s="1"/>
  <c r="I913" i="1"/>
  <c r="J913" i="1" s="1"/>
  <c r="I459" i="1"/>
  <c r="J459" i="1" s="1"/>
  <c r="I798" i="1"/>
  <c r="J798" i="1" s="1"/>
  <c r="I728" i="1"/>
  <c r="J728" i="1" s="1"/>
  <c r="I73" i="1"/>
  <c r="J73" i="1" s="1"/>
  <c r="I261" i="1"/>
  <c r="J261" i="1" s="1"/>
  <c r="I410" i="1"/>
  <c r="J410" i="1" s="1"/>
  <c r="I384" i="1"/>
  <c r="J384" i="1" s="1"/>
  <c r="I909" i="1"/>
  <c r="J909" i="1" s="1"/>
  <c r="I822" i="1"/>
  <c r="J822" i="1" s="1"/>
  <c r="I353" i="1"/>
  <c r="J353" i="1" s="1"/>
  <c r="I32" i="1"/>
  <c r="J32" i="1" s="1"/>
  <c r="I325" i="1"/>
  <c r="J325" i="1" s="1"/>
  <c r="I287" i="1"/>
  <c r="J287" i="1" s="1"/>
  <c r="I52" i="1"/>
  <c r="J52" i="1" s="1"/>
  <c r="I759" i="1"/>
  <c r="J759" i="1" s="1"/>
  <c r="I800" i="1"/>
  <c r="J800" i="1" s="1"/>
  <c r="I409" i="1"/>
  <c r="J409" i="1" s="1"/>
  <c r="I260" i="1"/>
  <c r="J260" i="1" s="1"/>
  <c r="I217" i="1"/>
  <c r="J217" i="1" s="1"/>
  <c r="I883" i="1"/>
  <c r="J883" i="1" s="1"/>
  <c r="I675" i="1"/>
  <c r="J675" i="1" s="1"/>
  <c r="I553" i="1"/>
  <c r="J553" i="1" s="1"/>
  <c r="I674" i="1"/>
  <c r="J674" i="1" s="1"/>
  <c r="I797" i="1"/>
  <c r="J797" i="1" s="1"/>
  <c r="I864" i="1"/>
  <c r="J864" i="1" s="1"/>
  <c r="I372" i="1"/>
  <c r="J372" i="1" s="1"/>
  <c r="I59" i="1"/>
  <c r="J59" i="1" s="1"/>
  <c r="I259" i="1"/>
  <c r="J259" i="1" s="1"/>
  <c r="I788" i="1"/>
  <c r="J788" i="1" s="1"/>
  <c r="I146" i="1"/>
  <c r="J146" i="1" s="1"/>
  <c r="I72" i="1"/>
  <c r="J72" i="1" s="1"/>
  <c r="I592" i="1"/>
  <c r="J592" i="1" s="1"/>
  <c r="I697" i="1"/>
  <c r="J697" i="1" s="1"/>
  <c r="I192" i="1"/>
  <c r="J192" i="1" s="1"/>
  <c r="I568" i="1"/>
  <c r="J568" i="1" s="1"/>
  <c r="I173" i="1"/>
  <c r="J173" i="1" s="1"/>
  <c r="I820" i="1"/>
  <c r="J820" i="1" s="1"/>
  <c r="I837" i="1"/>
  <c r="J837" i="1" s="1"/>
  <c r="I359" i="1"/>
  <c r="J359" i="1" s="1"/>
  <c r="I499" i="1"/>
  <c r="J499" i="1" s="1"/>
  <c r="I889" i="1"/>
  <c r="J889" i="1" s="1"/>
  <c r="I828" i="1"/>
  <c r="J828" i="1" s="1"/>
  <c r="I708" i="1"/>
  <c r="J708" i="1" s="1"/>
  <c r="I390" i="1"/>
  <c r="J390" i="1" s="1"/>
  <c r="I661" i="1"/>
  <c r="J661" i="1" s="1"/>
  <c r="I82" i="1"/>
  <c r="J82" i="1" s="1"/>
  <c r="I567" i="1"/>
  <c r="J567" i="1" s="1"/>
  <c r="I813" i="1"/>
  <c r="J813" i="1" s="1"/>
  <c r="I65" i="1"/>
  <c r="J65" i="1" s="1"/>
  <c r="I26" i="1"/>
  <c r="J26" i="1" s="1"/>
  <c r="I862" i="1"/>
  <c r="J862" i="1" s="1"/>
  <c r="I754" i="1"/>
  <c r="J754" i="1" s="1"/>
  <c r="I692" i="1"/>
  <c r="J692" i="1" s="1"/>
  <c r="I358" i="1"/>
  <c r="J358" i="1" s="1"/>
  <c r="I543" i="1"/>
  <c r="J543" i="1" s="1"/>
  <c r="I611" i="1"/>
  <c r="J611" i="1" s="1"/>
  <c r="I163" i="1"/>
  <c r="J163" i="1" s="1"/>
  <c r="I907" i="1"/>
  <c r="J907" i="1" s="1"/>
  <c r="I513" i="1"/>
  <c r="J513" i="1" s="1"/>
  <c r="I898" i="1"/>
  <c r="J898" i="1" s="1"/>
  <c r="I916" i="1"/>
  <c r="J916" i="1" s="1"/>
  <c r="I216" i="1"/>
  <c r="J216" i="1" s="1"/>
  <c r="I13" i="1"/>
  <c r="J13" i="1" s="1"/>
  <c r="I776" i="1"/>
  <c r="J776" i="1" s="1"/>
  <c r="I893" i="1"/>
  <c r="J893" i="1" s="1"/>
  <c r="I905" i="1"/>
  <c r="J905" i="1" s="1"/>
  <c r="I575" i="1"/>
  <c r="J575" i="1" s="1"/>
  <c r="I249" i="1"/>
  <c r="J249" i="1" s="1"/>
  <c r="I780" i="1"/>
  <c r="J780" i="1" s="1"/>
  <c r="I484" i="1"/>
  <c r="J484" i="1" s="1"/>
  <c r="I911" i="1"/>
  <c r="J911" i="1" s="1"/>
  <c r="I707" i="1"/>
  <c r="J707" i="1" s="1"/>
  <c r="I86" i="1"/>
  <c r="J86" i="1" s="1"/>
  <c r="I766" i="1"/>
  <c r="J766" i="1" s="1"/>
  <c r="I248" i="1"/>
  <c r="J248" i="1" s="1"/>
  <c r="I868" i="1"/>
  <c r="J868" i="1" s="1"/>
  <c r="I114" i="1"/>
  <c r="J114" i="1" s="1"/>
  <c r="I599" i="1"/>
  <c r="J599" i="1" s="1"/>
  <c r="I819" i="1"/>
  <c r="J819" i="1" s="1"/>
  <c r="I744" i="1"/>
  <c r="J744" i="1" s="1"/>
  <c r="I158" i="1"/>
  <c r="J158" i="1" s="1"/>
  <c r="I827" i="1"/>
  <c r="J827" i="1" s="1"/>
  <c r="I667" i="1"/>
  <c r="J667" i="1" s="1"/>
  <c r="I238" i="1"/>
  <c r="J238" i="1" s="1"/>
  <c r="I483" i="1"/>
  <c r="J483" i="1" s="1"/>
  <c r="I418" i="1"/>
  <c r="J418" i="1" s="1"/>
  <c r="I836" i="1"/>
  <c r="J836" i="1" s="1"/>
  <c r="I736" i="1"/>
  <c r="J736" i="1" s="1"/>
  <c r="I660" i="1"/>
  <c r="J660" i="1" s="1"/>
  <c r="I835" i="1"/>
  <c r="J835" i="1" s="1"/>
  <c r="I191" i="1"/>
  <c r="J191" i="1" s="1"/>
  <c r="I451" i="1"/>
  <c r="J451" i="1" s="1"/>
  <c r="I923" i="1"/>
  <c r="I880" i="1"/>
  <c r="J880" i="1" s="1"/>
  <c r="I472" i="1"/>
  <c r="J472" i="1" s="1"/>
  <c r="I743" i="1"/>
  <c r="J743" i="1" s="1"/>
  <c r="I524" i="1"/>
  <c r="J524" i="1" s="1"/>
  <c r="I247" i="1"/>
  <c r="J247" i="1" s="1"/>
  <c r="I875" i="1"/>
  <c r="J875" i="1" s="1"/>
  <c r="I383" i="1"/>
  <c r="J383" i="1" s="1"/>
  <c r="I357" i="1"/>
  <c r="J357" i="1" s="1"/>
  <c r="I450" i="1"/>
  <c r="J450" i="1" s="1"/>
  <c r="I300" i="1"/>
  <c r="J300" i="1" s="1"/>
  <c r="I181" i="1"/>
  <c r="J181" i="1" s="1"/>
  <c r="I774" i="1"/>
  <c r="J774" i="1" s="1"/>
  <c r="I371" i="1"/>
  <c r="J371" i="1" s="1"/>
  <c r="I172" i="1"/>
  <c r="J172" i="1" s="1"/>
  <c r="I97" i="1"/>
  <c r="J97" i="1" s="1"/>
  <c r="I643" i="1"/>
  <c r="J643" i="1" s="1"/>
  <c r="I215" i="1"/>
  <c r="J215" i="1" s="1"/>
  <c r="I659" i="1"/>
  <c r="J659" i="1" s="1"/>
  <c r="I739" i="1"/>
  <c r="J739" i="1" s="1"/>
  <c r="I356" i="1"/>
  <c r="J356" i="1" s="1"/>
  <c r="I591" i="1"/>
  <c r="J591" i="1" s="1"/>
  <c r="I201" i="1"/>
  <c r="J201" i="1" s="1"/>
  <c r="I17" i="1"/>
  <c r="J17" i="1" s="1"/>
  <c r="I924" i="1"/>
  <c r="J924" i="1" s="1"/>
  <c r="I94" i="1"/>
  <c r="J94" i="1" s="1"/>
  <c r="I742" i="1"/>
  <c r="J742" i="1" s="1"/>
  <c r="I352" i="1"/>
  <c r="J352" i="1" s="1"/>
  <c r="I787" i="1"/>
  <c r="J787" i="1" s="1"/>
  <c r="I512" i="1"/>
  <c r="J512" i="1" s="1"/>
  <c r="I286" i="1"/>
  <c r="J286" i="1" s="1"/>
  <c r="I81" i="1"/>
  <c r="J81" i="1" s="1"/>
  <c r="I10" i="1"/>
  <c r="J10" i="1" s="1"/>
  <c r="I22" i="1"/>
  <c r="J22" i="1" s="1"/>
  <c r="I590" i="1"/>
  <c r="J590" i="1" s="1"/>
  <c r="I299" i="1"/>
  <c r="J299" i="1" s="1"/>
  <c r="I171" i="1"/>
  <c r="J171" i="1" s="1"/>
  <c r="I396" i="1"/>
  <c r="J396" i="1" s="1"/>
  <c r="I533" i="1"/>
  <c r="J533" i="1" s="1"/>
  <c r="I370" i="1"/>
  <c r="J370" i="1" s="1"/>
  <c r="I369" i="1"/>
  <c r="J369" i="1" s="1"/>
  <c r="I658" i="1"/>
  <c r="J658" i="1" s="1"/>
  <c r="I324" i="1"/>
  <c r="J324" i="1" s="1"/>
  <c r="I145" i="1"/>
  <c r="J145" i="1" s="1"/>
  <c r="I434" i="1"/>
  <c r="J434" i="1" s="1"/>
  <c r="I157" i="1"/>
  <c r="J157" i="1" s="1"/>
  <c r="I280" i="1"/>
  <c r="J280" i="1" s="1"/>
  <c r="I135" i="1"/>
  <c r="J135" i="1" s="1"/>
  <c r="I368" i="1"/>
  <c r="J368" i="1" s="1"/>
  <c r="I706" i="1"/>
  <c r="J706" i="1" s="1"/>
  <c r="I642" i="1"/>
  <c r="J642" i="1" s="1"/>
  <c r="I523" i="1"/>
  <c r="J523" i="1" s="1"/>
  <c r="I342" i="1"/>
  <c r="J342" i="1" s="1"/>
  <c r="I552" i="1"/>
  <c r="J552" i="1" s="1"/>
  <c r="I932" i="1"/>
  <c r="J932" i="1" s="1"/>
  <c r="I691" i="1"/>
  <c r="J691" i="1" s="1"/>
  <c r="I779" i="1"/>
  <c r="J779" i="1" s="1"/>
  <c r="I96" i="1"/>
  <c r="J96" i="1" s="1"/>
  <c r="I532" i="1"/>
  <c r="J532" i="1" s="1"/>
  <c r="I156" i="1"/>
  <c r="J156" i="1" s="1"/>
  <c r="I80" i="1"/>
  <c r="J80" i="1" s="1"/>
  <c r="I885" i="1"/>
  <c r="J885" i="1" s="1"/>
  <c r="I574" i="1"/>
  <c r="J574" i="1" s="1"/>
  <c r="I685" i="1"/>
  <c r="J685" i="1" s="1"/>
  <c r="I482" i="1"/>
  <c r="J482" i="1" s="1"/>
  <c r="I246" i="1"/>
  <c r="J246" i="1" s="1"/>
  <c r="I230" i="1"/>
  <c r="J230" i="1" s="1"/>
  <c r="I818" i="1"/>
  <c r="J818" i="1" s="1"/>
  <c r="I498" i="1"/>
  <c r="J498" i="1" s="1"/>
  <c r="I444" i="1"/>
  <c r="J444" i="1" s="1"/>
  <c r="I897" i="1"/>
  <c r="J897" i="1" s="1"/>
  <c r="I323" i="1"/>
  <c r="J323" i="1" s="1"/>
  <c r="I589" i="1"/>
  <c r="J589" i="1" s="1"/>
  <c r="I901" i="1"/>
  <c r="J901" i="1" s="1"/>
  <c r="I869" i="1"/>
  <c r="J869" i="1" s="1"/>
  <c r="I929" i="1"/>
  <c r="J929" i="1" s="1"/>
  <c r="I180" i="1"/>
  <c r="J180" i="1" s="1"/>
  <c r="I433" i="1"/>
  <c r="J433" i="1" s="1"/>
  <c r="I511" i="1"/>
  <c r="J511" i="1" s="1"/>
  <c r="I9" i="1"/>
  <c r="J9" i="1" s="1"/>
  <c r="I113" i="1"/>
  <c r="J113" i="1" s="1"/>
  <c r="I389" i="1"/>
  <c r="J389" i="1" s="1"/>
  <c r="I179" i="1"/>
  <c r="J179" i="1" s="1"/>
  <c r="I104" i="1"/>
  <c r="J104" i="1" s="1"/>
  <c r="I684" i="1"/>
  <c r="J684" i="1" s="1"/>
  <c r="I758" i="1"/>
  <c r="J758" i="1" s="1"/>
  <c r="I690" i="1"/>
  <c r="J690" i="1" s="1"/>
  <c r="I237" i="1"/>
  <c r="J237" i="1" s="1"/>
  <c r="I458" i="1"/>
  <c r="J458" i="1" s="1"/>
  <c r="I861" i="1"/>
  <c r="J861" i="1" s="1"/>
  <c r="I551" i="1"/>
  <c r="J551" i="1" s="1"/>
  <c r="I122" i="1"/>
  <c r="J122" i="1" s="1"/>
  <c r="I91" i="1"/>
  <c r="J91" i="1" s="1"/>
  <c r="I522" i="1"/>
  <c r="J522" i="1" s="1"/>
  <c r="I673" i="1"/>
  <c r="J673" i="1" s="1"/>
  <c r="I927" i="1"/>
  <c r="J927" i="1" s="1"/>
  <c r="I134" i="1"/>
  <c r="J134" i="1" s="1"/>
  <c r="I322" i="1"/>
  <c r="J322" i="1" s="1"/>
  <c r="I716" i="1"/>
  <c r="J716" i="1" s="1"/>
  <c r="I933" i="1"/>
  <c r="J933" i="1" s="1"/>
  <c r="I735" i="1"/>
  <c r="J735" i="1" s="1"/>
  <c r="I832" i="1"/>
  <c r="J832" i="1" s="1"/>
  <c r="I683" i="1"/>
  <c r="J683" i="1" s="1"/>
  <c r="I610" i="1"/>
  <c r="J610" i="1" s="1"/>
  <c r="I109" i="1"/>
  <c r="J109" i="1" s="1"/>
  <c r="I285" i="1"/>
  <c r="J285" i="1" s="1"/>
  <c r="I341" i="1"/>
  <c r="J341" i="1" s="1"/>
  <c r="I652" i="1"/>
  <c r="J652" i="1" s="1"/>
  <c r="I786" i="1"/>
  <c r="J786" i="1" s="1"/>
  <c r="I408" i="1"/>
  <c r="J408" i="1" s="1"/>
  <c r="I129" i="1"/>
  <c r="J129" i="1" s="1"/>
  <c r="I573" i="1"/>
  <c r="J573" i="1" s="1"/>
  <c r="I209" i="1"/>
  <c r="J209" i="1" s="1"/>
  <c r="I588" i="1"/>
  <c r="J588" i="1" s="1"/>
  <c r="I417" i="1"/>
  <c r="J417" i="1" s="1"/>
  <c r="I321" i="1"/>
  <c r="J321" i="1" s="1"/>
  <c r="I388" i="1"/>
  <c r="J388" i="1" s="1"/>
  <c r="I521" i="1"/>
  <c r="J521" i="1" s="1"/>
  <c r="I633" i="1"/>
  <c r="J633" i="1" s="1"/>
  <c r="I727" i="1"/>
  <c r="J727" i="1" s="1"/>
  <c r="I85" i="1"/>
  <c r="J85" i="1" s="1"/>
  <c r="I762" i="1"/>
  <c r="J762" i="1" s="1"/>
  <c r="I497" i="1"/>
  <c r="J497" i="1" s="1"/>
  <c r="I258" i="1"/>
  <c r="J258" i="1" s="1"/>
  <c r="I922" i="1"/>
  <c r="J922" i="1" s="1"/>
  <c r="I320" i="1"/>
  <c r="J320" i="1" s="1"/>
  <c r="I572" i="1"/>
  <c r="J572" i="1" s="1"/>
  <c r="I312" i="1"/>
  <c r="J312" i="1" s="1"/>
  <c r="I651" i="1"/>
  <c r="J651" i="1" s="1"/>
  <c r="I531" i="1"/>
  <c r="J531" i="1" s="1"/>
  <c r="I311" i="1"/>
  <c r="J311" i="1" s="1"/>
  <c r="I407" i="1"/>
  <c r="J407" i="1" s="1"/>
  <c r="I310" i="1"/>
  <c r="J310" i="1" s="1"/>
  <c r="I50" i="1"/>
  <c r="J50" i="1" s="1"/>
  <c r="I904" i="1"/>
  <c r="J904" i="1" s="1"/>
  <c r="I298" i="1"/>
  <c r="J298" i="1" s="1"/>
  <c r="I155" i="1"/>
  <c r="J155" i="1" s="1"/>
  <c r="I245" i="1"/>
  <c r="J245" i="1" s="1"/>
  <c r="I297" i="1"/>
  <c r="J297" i="1" s="1"/>
  <c r="I871" i="1"/>
  <c r="J871" i="1" s="1"/>
  <c r="I170" i="1"/>
  <c r="J170" i="1" s="1"/>
  <c r="I926" i="1"/>
  <c r="J926" i="1" s="1"/>
  <c r="I121" i="1"/>
  <c r="J121" i="1" s="1"/>
  <c r="I271" i="1"/>
  <c r="J271" i="1" s="1"/>
  <c r="I510" i="1"/>
  <c r="J510" i="1" s="1"/>
  <c r="I888" i="1"/>
  <c r="J888" i="1" s="1"/>
  <c r="I626" i="1"/>
  <c r="J626" i="1" s="1"/>
  <c r="I4" i="1"/>
  <c r="J4" i="1" s="1"/>
  <c r="I169" i="1"/>
  <c r="J169" i="1" s="1"/>
  <c r="I467" i="1"/>
  <c r="J467" i="1" s="1"/>
  <c r="I178" i="1"/>
  <c r="J178" i="1" s="1"/>
  <c r="I382" i="1"/>
  <c r="J382" i="1" s="1"/>
  <c r="I914" i="1"/>
  <c r="J914" i="1" s="1"/>
  <c r="I279" i="1"/>
  <c r="J279" i="1" s="1"/>
  <c r="I36" i="1"/>
  <c r="J36" i="1" s="1"/>
  <c r="I351" i="1"/>
  <c r="J351" i="1" s="1"/>
  <c r="I792" i="1"/>
  <c r="J792" i="1" s="1"/>
  <c r="I582" i="1"/>
  <c r="J582" i="1" s="1"/>
  <c r="I721" i="1"/>
  <c r="J721" i="1" s="1"/>
  <c r="I190" i="1"/>
  <c r="J190" i="1" s="1"/>
  <c r="I319" i="1"/>
  <c r="J319" i="1" s="1"/>
  <c r="I406" i="1"/>
  <c r="J406" i="1" s="1"/>
  <c r="I530" i="1"/>
  <c r="J530" i="1" s="1"/>
  <c r="I257" i="1"/>
  <c r="J257" i="1" s="1"/>
  <c r="I769" i="1"/>
  <c r="J769" i="1" s="1"/>
  <c r="I726" i="1"/>
  <c r="J726" i="1" s="1"/>
  <c r="I256" i="1"/>
  <c r="J256" i="1" s="1"/>
  <c r="I595" i="1"/>
  <c r="J595" i="1" s="1"/>
  <c r="I355" i="1"/>
  <c r="J355" i="1" s="1"/>
  <c r="I108" i="1"/>
  <c r="J108" i="1" s="1"/>
  <c r="I641" i="1"/>
  <c r="J641" i="1" s="1"/>
  <c r="I720" i="1"/>
  <c r="J720" i="1" s="1"/>
  <c r="I930" i="1"/>
  <c r="J930" i="1" s="1"/>
  <c r="I481" i="1"/>
  <c r="J481" i="1" s="1"/>
  <c r="I278" i="1"/>
  <c r="J278" i="1" s="1"/>
  <c r="I912" i="1"/>
  <c r="J912" i="1" s="1"/>
  <c r="I625" i="1"/>
  <c r="I657" i="1"/>
  <c r="J657" i="1" s="1"/>
  <c r="I581" i="1"/>
  <c r="J581" i="1" s="1"/>
  <c r="I222" i="1"/>
  <c r="J222" i="1" s="1"/>
  <c r="I405" i="1"/>
  <c r="J405" i="1" s="1"/>
  <c r="I812" i="1"/>
  <c r="J812" i="1" s="1"/>
  <c r="I154" i="1"/>
  <c r="J154" i="1" s="1"/>
  <c r="I367" i="1"/>
  <c r="J367" i="1" s="1"/>
  <c r="I449" i="1"/>
  <c r="J449" i="1" s="1"/>
  <c r="I255" i="1"/>
  <c r="J255" i="1" s="1"/>
  <c r="I859" i="1"/>
  <c r="J859" i="1" s="1"/>
  <c r="I309" i="1"/>
  <c r="J309" i="1" s="1"/>
  <c r="I640" i="1"/>
  <c r="J640" i="1" s="1"/>
  <c r="I254" i="1"/>
  <c r="J254" i="1" s="1"/>
  <c r="I878" i="1"/>
  <c r="J878" i="1" s="1"/>
  <c r="I3" i="1"/>
  <c r="J3" i="1" s="1"/>
  <c r="I208" i="1"/>
  <c r="J208" i="1" s="1"/>
  <c r="I131" i="1"/>
  <c r="J131" i="1" s="1"/>
  <c r="I587" i="1"/>
  <c r="J587" i="1" s="1"/>
  <c r="I937" i="1"/>
  <c r="J937" i="1" s="1"/>
  <c r="I689" i="1"/>
  <c r="J689" i="1" s="1"/>
  <c r="I350" i="1"/>
  <c r="J350" i="1" s="1"/>
  <c r="I586" i="1"/>
  <c r="J586" i="1" s="1"/>
  <c r="I842" i="1"/>
  <c r="J842" i="1" s="1"/>
  <c r="I200" i="1"/>
  <c r="J200" i="1" s="1"/>
  <c r="I867" i="1"/>
  <c r="J867" i="1" s="1"/>
  <c r="I580" i="1"/>
  <c r="J580" i="1" s="1"/>
  <c r="I112" i="1"/>
  <c r="J112" i="1" s="1"/>
  <c r="I71" i="1"/>
  <c r="J71" i="1" s="1"/>
  <c r="I144" i="1"/>
  <c r="J144" i="1" s="1"/>
  <c r="I404" i="1"/>
  <c r="J404" i="1" s="1"/>
  <c r="I560" i="1"/>
  <c r="J560" i="1" s="1"/>
  <c r="I49" i="1"/>
  <c r="J49" i="1" s="1"/>
  <c r="I35" i="1"/>
  <c r="J35" i="1" s="1"/>
  <c r="I25" i="1"/>
  <c r="J25" i="1" s="1"/>
  <c r="I785" i="1"/>
  <c r="J785" i="1" s="1"/>
  <c r="I520" i="1"/>
  <c r="J520" i="1" s="1"/>
  <c r="I734" i="1"/>
  <c r="J734" i="1" s="1"/>
  <c r="I761" i="1"/>
  <c r="J761" i="1" s="1"/>
  <c r="I448" i="1"/>
  <c r="J448" i="1" s="1"/>
  <c r="I872" i="1"/>
  <c r="J872" i="1" s="1"/>
  <c r="I366" i="1"/>
  <c r="J366" i="1" s="1"/>
  <c r="I432" i="1"/>
  <c r="J432" i="1" s="1"/>
  <c r="I340" i="1"/>
  <c r="J340" i="1" s="1"/>
  <c r="I416" i="1"/>
  <c r="J416" i="1" s="1"/>
  <c r="I90" i="1"/>
  <c r="J90" i="1" s="1"/>
  <c r="I253" i="1"/>
  <c r="J253" i="1" s="1"/>
  <c r="I308" i="1"/>
  <c r="J308" i="1" s="1"/>
  <c r="I585" i="1"/>
  <c r="J585" i="1" s="1"/>
  <c r="I550" i="1"/>
  <c r="J550" i="1" s="1"/>
  <c r="I666" i="1"/>
  <c r="J666" i="1" s="1"/>
  <c r="I89" i="1"/>
  <c r="J89" i="1" s="1"/>
  <c r="I584" i="1"/>
  <c r="J584" i="1" s="1"/>
  <c r="I111" i="1"/>
  <c r="J111" i="1" s="1"/>
  <c r="I381" i="1"/>
  <c r="J381" i="1" s="1"/>
  <c r="I331" i="1"/>
  <c r="J331" i="1" s="1"/>
  <c r="I542" i="1"/>
  <c r="J542" i="1" s="1"/>
  <c r="I650" i="1"/>
  <c r="J650" i="1" s="1"/>
  <c r="I403" i="1"/>
  <c r="J403" i="1" s="1"/>
  <c r="I21" i="1"/>
  <c r="J21" i="1" s="1"/>
  <c r="I402" i="1"/>
  <c r="J402" i="1" s="1"/>
  <c r="I921" i="1"/>
  <c r="J921" i="1" s="1"/>
  <c r="I566" i="1"/>
  <c r="J566" i="1" s="1"/>
  <c r="I349" i="1"/>
  <c r="J349" i="1" s="1"/>
  <c r="I639" i="1"/>
  <c r="J639" i="1" s="1"/>
  <c r="I509" i="1"/>
  <c r="J509" i="1" s="1"/>
  <c r="I330" i="1"/>
  <c r="J330" i="1" s="1"/>
  <c r="I866" i="1"/>
  <c r="J866" i="1" s="1"/>
  <c r="I496" i="1"/>
  <c r="J496" i="1" s="1"/>
  <c r="I401" i="1"/>
  <c r="J401" i="1" s="1"/>
  <c r="I918" i="1"/>
  <c r="J918" i="1" s="1"/>
  <c r="I682" i="1"/>
  <c r="J682" i="1" s="1"/>
  <c r="I508" i="1"/>
  <c r="J508" i="1" s="1"/>
  <c r="I731" i="1"/>
  <c r="J731" i="1" s="1"/>
  <c r="I834" i="1"/>
  <c r="J834" i="1" s="1"/>
  <c r="I672" i="1"/>
  <c r="J672" i="1" s="1"/>
  <c r="I318" i="1"/>
  <c r="J318" i="1" s="1"/>
  <c r="I738" i="1"/>
  <c r="J738" i="1" s="1"/>
  <c r="I795" i="1"/>
  <c r="J795" i="1" s="1"/>
  <c r="I681" i="1"/>
  <c r="J681" i="1" s="1"/>
  <c r="I725" i="1"/>
  <c r="J725" i="1" s="1"/>
  <c r="I715" i="1"/>
  <c r="J715" i="1" s="1"/>
  <c r="I598" i="1"/>
  <c r="J598" i="1" s="1"/>
  <c r="I199" i="1"/>
  <c r="J199" i="1" s="1"/>
  <c r="I519" i="1"/>
  <c r="J519" i="1" s="1"/>
  <c r="I348" i="1"/>
  <c r="J348" i="1" s="1"/>
  <c r="I15" i="1"/>
  <c r="J15" i="1" s="1"/>
  <c r="I41" i="1"/>
  <c r="J41" i="1" s="1"/>
  <c r="I879" i="1"/>
  <c r="J879" i="1" s="1"/>
  <c r="I34" i="1"/>
  <c r="J34" i="1" s="1"/>
  <c r="I130" i="1"/>
  <c r="J130" i="1" s="1"/>
  <c r="I277" i="1"/>
  <c r="J277" i="1" s="1"/>
  <c r="I28" i="1"/>
  <c r="J28" i="1" s="1"/>
  <c r="I88" i="1"/>
  <c r="J88" i="1" s="1"/>
  <c r="I705" i="1"/>
  <c r="J705" i="1" s="1"/>
  <c r="I38" i="1"/>
  <c r="J38" i="1" s="1"/>
  <c r="I133" i="1"/>
  <c r="J133" i="1" s="1"/>
  <c r="I168" i="1"/>
  <c r="J168" i="1" s="1"/>
  <c r="I696" i="1"/>
  <c r="J696" i="1" s="1"/>
  <c r="I858" i="1"/>
  <c r="J858" i="1" s="1"/>
  <c r="I688" i="1"/>
  <c r="J688" i="1" s="1"/>
  <c r="I447" i="1"/>
  <c r="J447" i="1" s="1"/>
  <c r="I507" i="1"/>
  <c r="J507" i="1" s="1"/>
  <c r="I58" i="1"/>
  <c r="J58" i="1" s="1"/>
  <c r="I890" i="1"/>
  <c r="J890" i="1" s="1"/>
  <c r="I221" i="1"/>
  <c r="J221" i="1" s="1"/>
  <c r="I733" i="1"/>
  <c r="J733" i="1" s="1"/>
  <c r="I617" i="1"/>
  <c r="J617" i="1" s="1"/>
  <c r="I189" i="1"/>
  <c r="J189" i="1" s="1"/>
  <c r="I680" i="1"/>
  <c r="J680" i="1" s="1"/>
  <c r="I12" i="1"/>
  <c r="J12" i="1" s="1"/>
  <c r="I466" i="1"/>
  <c r="J466" i="1" s="1"/>
  <c r="I555" i="1"/>
  <c r="J555" i="1" s="1"/>
  <c r="I609" i="1"/>
  <c r="J609" i="1" s="1"/>
  <c r="I40" i="1"/>
  <c r="J40" i="1" s="1"/>
  <c r="I207" i="1"/>
  <c r="J207" i="1" s="1"/>
  <c r="I143" i="1"/>
  <c r="J143" i="1" s="1"/>
  <c r="I506" i="1"/>
  <c r="J506" i="1" s="1"/>
  <c r="I317" i="1"/>
  <c r="J317" i="1" s="1"/>
  <c r="I638" i="1"/>
  <c r="J638" i="1" s="1"/>
  <c r="I854" i="1"/>
  <c r="J854" i="1" s="1"/>
  <c r="I103" i="1"/>
  <c r="J103" i="1" s="1"/>
  <c r="I791" i="1"/>
  <c r="J791" i="1" s="1"/>
  <c r="I198" i="1"/>
  <c r="J198" i="1" s="1"/>
  <c r="I853" i="1"/>
  <c r="J853" i="1" s="1"/>
  <c r="I443" i="1"/>
  <c r="J443" i="1" s="1"/>
  <c r="I632" i="1"/>
  <c r="J632" i="1" s="1"/>
  <c r="I495" i="1"/>
  <c r="J495" i="1" s="1"/>
  <c r="I887" i="1"/>
  <c r="J887" i="1" s="1"/>
  <c r="I99" i="1"/>
  <c r="J99" i="1" s="1"/>
  <c r="I110" i="1"/>
  <c r="J110" i="1" s="1"/>
  <c r="I935" i="1"/>
  <c r="J935" i="1" s="1"/>
  <c r="I188" i="1"/>
  <c r="J188" i="1" s="1"/>
  <c r="I665" i="1"/>
  <c r="J665" i="1" s="1"/>
  <c r="I400" i="1"/>
  <c r="J400" i="1" s="1"/>
  <c r="I702" i="1"/>
  <c r="J702" i="1" s="1"/>
  <c r="I120" i="1"/>
  <c r="I565" i="1"/>
  <c r="J565" i="1" s="1"/>
  <c r="I809" i="1"/>
  <c r="J809" i="1" s="1"/>
  <c r="I132" i="1"/>
  <c r="J132" i="1" s="1"/>
  <c r="I701" i="1"/>
  <c r="J701" i="1" s="1"/>
  <c r="I102" i="1"/>
  <c r="J102" i="1" s="1"/>
  <c r="I399" i="1"/>
  <c r="J399" i="1" s="1"/>
  <c r="I431" i="1"/>
  <c r="J431" i="1" s="1"/>
  <c r="I679" i="1"/>
  <c r="J679" i="1" s="1"/>
  <c r="I649" i="1"/>
  <c r="J649" i="1" s="1"/>
  <c r="I430" i="1"/>
  <c r="J430" i="1" s="1"/>
  <c r="I270" i="1"/>
  <c r="J270" i="1" s="1"/>
  <c r="I757" i="1"/>
  <c r="J757" i="1" s="1"/>
  <c r="I37" i="1"/>
  <c r="J37" i="1" s="1"/>
  <c r="I671" i="1"/>
  <c r="J671" i="1" s="1"/>
  <c r="I446" i="1"/>
  <c r="J446" i="1" s="1"/>
  <c r="I518" i="1"/>
  <c r="J518" i="1" s="1"/>
  <c r="I244" i="1"/>
  <c r="J244" i="1" s="1"/>
  <c r="I316" i="1"/>
  <c r="J316" i="1" s="1"/>
  <c r="I395" i="1"/>
  <c r="J395" i="1" s="1"/>
  <c r="I339" i="1"/>
  <c r="J339" i="1" s="1"/>
  <c r="I870" i="1"/>
  <c r="J870" i="1" s="1"/>
  <c r="I670" i="1"/>
  <c r="J670" i="1" s="1"/>
  <c r="I747" i="1"/>
  <c r="J747" i="1" s="1"/>
  <c r="I529" i="1"/>
  <c r="J529" i="1" s="1"/>
  <c r="I365" i="1"/>
  <c r="J365" i="1" s="1"/>
  <c r="I817" i="1"/>
  <c r="J817" i="1" s="1"/>
  <c r="I772" i="1"/>
  <c r="J772" i="1" s="1"/>
  <c r="I197" i="1"/>
  <c r="J197" i="1" s="1"/>
  <c r="I811" i="1"/>
  <c r="J811" i="1" s="1"/>
  <c r="I760" i="1"/>
  <c r="J760" i="1" s="1"/>
  <c r="I236" i="1"/>
  <c r="J236" i="1" s="1"/>
  <c r="I892" i="1"/>
  <c r="J892" i="1" s="1"/>
  <c r="I187" i="1"/>
  <c r="J187" i="1" s="1"/>
  <c r="I398" i="1"/>
  <c r="J398" i="1" s="1"/>
  <c r="I851" i="1"/>
  <c r="J851" i="1" s="1"/>
  <c r="I380" i="1"/>
  <c r="J380" i="1" s="1"/>
  <c r="I379" i="1"/>
  <c r="J379" i="1" s="1"/>
  <c r="I119" i="1"/>
  <c r="J119" i="1" s="1"/>
  <c r="I296" i="1"/>
  <c r="J296" i="1" s="1"/>
  <c r="I153" i="1"/>
  <c r="J153" i="1" s="1"/>
  <c r="I571" i="1"/>
  <c r="J571" i="1" s="1"/>
  <c r="I656" i="1"/>
  <c r="J656" i="1" s="1"/>
  <c r="I784" i="1"/>
  <c r="J784" i="1" s="1"/>
  <c r="I505" i="1"/>
  <c r="J505" i="1" s="1"/>
  <c r="I815" i="1"/>
  <c r="J815" i="1" s="1"/>
  <c r="I494" i="1"/>
  <c r="J494" i="1" s="1"/>
  <c r="I229" i="1"/>
  <c r="J229" i="1" s="1"/>
  <c r="I228" i="1"/>
  <c r="J228" i="1" s="1"/>
  <c r="I465" i="1"/>
  <c r="J465" i="1" s="1"/>
  <c r="I775" i="1"/>
  <c r="J775" i="1" s="1"/>
  <c r="I415" i="1"/>
  <c r="J415" i="1" s="1"/>
  <c r="I493" i="1"/>
  <c r="J493" i="1" s="1"/>
  <c r="I11" i="1"/>
  <c r="J11" i="1" s="1"/>
  <c r="I107" i="1"/>
  <c r="J107" i="1" s="1"/>
  <c r="I753" i="1"/>
  <c r="J753" i="1" s="1"/>
  <c r="I177" i="1"/>
  <c r="J177" i="1" s="1"/>
  <c r="I176" i="1"/>
  <c r="J176" i="1" s="1"/>
  <c r="I329" i="1"/>
  <c r="J329" i="1" s="1"/>
  <c r="I243" i="1"/>
  <c r="J243" i="1" s="1"/>
  <c r="I700" i="1"/>
  <c r="J700" i="1" s="1"/>
  <c r="I605" i="1"/>
  <c r="J605" i="1" s="1"/>
  <c r="I756" i="1"/>
  <c r="J756" i="1" s="1"/>
  <c r="I142" i="1"/>
  <c r="J142" i="1" s="1"/>
  <c r="I79" i="1"/>
  <c r="J79" i="1" s="1"/>
  <c r="I429" i="1"/>
  <c r="J429" i="1" s="1"/>
  <c r="I884" i="1"/>
  <c r="J884" i="1" s="1"/>
  <c r="I480" i="1"/>
  <c r="J480" i="1" s="1"/>
  <c r="I14" i="1"/>
  <c r="J14" i="1" s="1"/>
  <c r="I471" i="1"/>
  <c r="J471" i="1" s="1"/>
  <c r="I16" i="1"/>
  <c r="I206" i="1"/>
  <c r="J206" i="1" s="1"/>
  <c r="I604" i="1"/>
  <c r="J604" i="1" s="1"/>
  <c r="I27" i="1"/>
  <c r="J27" i="1" s="1"/>
  <c r="I175" i="1"/>
  <c r="J175" i="1" s="1"/>
  <c r="I783" i="1"/>
  <c r="J783" i="1" s="1"/>
  <c r="I152" i="1"/>
  <c r="J152" i="1" s="1"/>
  <c r="I810" i="1"/>
  <c r="J810" i="1" s="1"/>
  <c r="I61" i="1"/>
  <c r="J61" i="1" s="1"/>
  <c r="I741" i="1"/>
  <c r="J741" i="1" s="1"/>
  <c r="I84" i="1"/>
  <c r="J84" i="1" s="1"/>
  <c r="I831" i="1"/>
  <c r="J831" i="1" s="1"/>
  <c r="I242" i="1"/>
  <c r="J242" i="1" s="1"/>
  <c r="I724" i="1"/>
  <c r="J724" i="1" s="1"/>
  <c r="I241" i="1"/>
  <c r="J241" i="1" s="1"/>
  <c r="I387" i="1"/>
  <c r="J387" i="1" s="1"/>
  <c r="I669" i="1"/>
  <c r="J669" i="1" s="1"/>
  <c r="I794" i="1"/>
  <c r="J794" i="1" s="1"/>
  <c r="I850" i="1"/>
  <c r="J850" i="1" s="1"/>
  <c r="I141" i="1"/>
  <c r="J141" i="1" s="1"/>
  <c r="I328" i="1"/>
  <c r="J328" i="1" s="1"/>
  <c r="I95" i="1"/>
  <c r="J95" i="1" s="1"/>
  <c r="I196" i="1"/>
  <c r="J196" i="1" s="1"/>
  <c r="I55" i="1"/>
  <c r="J55" i="1" s="1"/>
  <c r="I364" i="1"/>
  <c r="J364" i="1" s="1"/>
  <c r="I559" i="1"/>
  <c r="J559" i="1" s="1"/>
  <c r="I830" i="1"/>
  <c r="J830" i="1" s="1"/>
  <c r="I597" i="1"/>
  <c r="J597" i="1" s="1"/>
  <c r="I877" i="1"/>
  <c r="J877" i="1" s="1"/>
  <c r="I648" i="1"/>
  <c r="J648" i="1" s="1"/>
  <c r="I699" i="1"/>
  <c r="J699" i="1" s="1"/>
  <c r="I874" i="1"/>
  <c r="J874" i="1" s="1"/>
  <c r="I771" i="1"/>
  <c r="J771" i="1" s="1"/>
  <c r="I39" i="1"/>
  <c r="J39" i="1" s="1"/>
  <c r="I846" i="1"/>
  <c r="J846" i="1" s="1"/>
  <c r="I570" i="1"/>
  <c r="J570" i="1" s="1"/>
  <c r="I541" i="1"/>
  <c r="J541" i="1" s="1"/>
  <c r="I540" i="1"/>
  <c r="J540" i="1" s="1"/>
  <c r="I616" i="1"/>
  <c r="J616" i="1" s="1"/>
  <c r="I891" i="1"/>
  <c r="J891" i="1" s="1"/>
  <c r="I876" i="1"/>
  <c r="J876" i="1" s="1"/>
  <c r="I394" i="1"/>
  <c r="J394" i="1" s="1"/>
  <c r="I517" i="1"/>
  <c r="J517" i="1" s="1"/>
  <c r="I752" i="1"/>
  <c r="J752" i="1" s="1"/>
  <c r="I220" i="1"/>
  <c r="J220" i="1" s="1"/>
  <c r="I227" i="1"/>
  <c r="J227" i="1" s="1"/>
  <c r="I347" i="1"/>
  <c r="J347" i="1" s="1"/>
  <c r="I48" i="1"/>
  <c r="J48" i="1" s="1"/>
  <c r="I492" i="1"/>
  <c r="J492" i="1" s="1"/>
  <c r="I840" i="1"/>
  <c r="J840" i="1" s="1"/>
  <c r="I564" i="1"/>
  <c r="J564" i="1" s="1"/>
  <c r="I740" i="1"/>
  <c r="J740" i="1" s="1"/>
  <c r="I235" i="1"/>
  <c r="J235" i="1" s="1"/>
  <c r="I479" i="1"/>
  <c r="J479" i="1" s="1"/>
  <c r="I849" i="1"/>
  <c r="J849" i="1" s="1"/>
  <c r="I637" i="1"/>
  <c r="J637" i="1" s="1"/>
  <c r="I276" i="1"/>
  <c r="J276" i="1" s="1"/>
  <c r="I457" i="1"/>
  <c r="J457" i="1" s="1"/>
  <c r="I915" i="1"/>
  <c r="J915" i="1" s="1"/>
  <c r="I284" i="1"/>
  <c r="J284" i="1" s="1"/>
  <c r="I24" i="1"/>
  <c r="J24" i="1" s="1"/>
  <c r="I603" i="1"/>
  <c r="J603" i="1" s="1"/>
  <c r="I719" i="1"/>
  <c r="J719" i="1" s="1"/>
  <c r="I806" i="1"/>
  <c r="J806" i="1" s="1"/>
  <c r="I826" i="1"/>
  <c r="I917" i="1"/>
  <c r="J917" i="1" s="1"/>
  <c r="I664" i="1"/>
  <c r="J664" i="1" s="1"/>
  <c r="I579" i="1"/>
  <c r="J579" i="1" s="1"/>
  <c r="I195" i="1"/>
  <c r="J195" i="1" s="1"/>
  <c r="I252" i="1"/>
  <c r="J252" i="1" s="1"/>
  <c r="I442" i="1"/>
  <c r="J442" i="1" s="1"/>
  <c r="I602" i="1"/>
  <c r="J602" i="1" s="1"/>
  <c r="I295" i="1"/>
  <c r="J295" i="1" s="1"/>
  <c r="I936" i="1"/>
  <c r="J936" i="1" s="1"/>
  <c r="I539" i="1"/>
  <c r="J539" i="1" s="1"/>
  <c r="I678" i="1"/>
  <c r="J678" i="1" s="1"/>
  <c r="I730" i="1"/>
  <c r="J730" i="1" s="1"/>
  <c r="I516" i="1"/>
  <c r="J516" i="1" s="1"/>
  <c r="I714" i="1"/>
  <c r="J714" i="1" s="1"/>
  <c r="H805" i="1"/>
  <c r="H393" i="1"/>
  <c r="H234" i="1"/>
  <c r="H857" i="1"/>
  <c r="H464" i="1"/>
  <c r="H563" i="1"/>
  <c r="H275" i="1"/>
  <c r="H713" i="1"/>
  <c r="H186" i="1"/>
  <c r="H778" i="1"/>
  <c r="H294" i="1"/>
  <c r="H274" i="1"/>
  <c r="H441" i="1"/>
  <c r="H829" i="1"/>
  <c r="H338" i="1"/>
  <c r="H624" i="1"/>
  <c r="H68" i="1"/>
  <c r="H337" i="1"/>
  <c r="H712" i="1"/>
  <c r="H549" i="1"/>
  <c r="H456" i="1"/>
  <c r="H646" i="1"/>
  <c r="H608" i="1"/>
  <c r="H307" i="1"/>
  <c r="H711" i="1"/>
  <c r="H226" i="1"/>
  <c r="H269" i="1"/>
  <c r="H31" i="1"/>
  <c r="H538" i="1"/>
  <c r="H327" i="1"/>
  <c r="H64" i="1"/>
  <c r="H306" i="1"/>
  <c r="H928" i="1"/>
  <c r="H70" i="1"/>
  <c r="H69" i="1"/>
  <c r="H920" i="1"/>
  <c r="H528" i="1"/>
  <c r="H45" i="1"/>
  <c r="H386" i="1"/>
  <c r="H414" i="1"/>
  <c r="H677" i="1"/>
  <c r="H623" i="1"/>
  <c r="H737" i="1"/>
  <c r="H578" i="1"/>
  <c r="H293" i="1"/>
  <c r="H790" i="1"/>
  <c r="H808" i="1"/>
  <c r="H718" i="1"/>
  <c r="H645" i="1"/>
  <c r="H833" i="1"/>
  <c r="H615" i="1"/>
  <c r="H283" i="1"/>
  <c r="H527" i="1"/>
  <c r="H765" i="1"/>
  <c r="H63" i="1"/>
  <c r="H315" i="1"/>
  <c r="H314" i="1"/>
  <c r="H548" i="1"/>
  <c r="H814" i="1"/>
  <c r="H799" i="1"/>
  <c r="H363" i="1"/>
  <c r="H601" i="1"/>
  <c r="H583" i="1"/>
  <c r="H755" i="1"/>
  <c r="H445" i="1"/>
  <c r="H292" i="1"/>
  <c r="H346" i="1"/>
  <c r="H636" i="1"/>
  <c r="H428" i="1"/>
  <c r="H345" i="1"/>
  <c r="H30" i="1"/>
  <c r="H20" i="1"/>
  <c r="H291" i="1"/>
  <c r="H504" i="1"/>
  <c r="H902" i="1"/>
  <c r="H491" i="1"/>
  <c r="H151" i="1"/>
  <c r="H622" i="1"/>
  <c r="H167" i="1"/>
  <c r="H282" i="1"/>
  <c r="H515" i="1"/>
  <c r="H490" i="1"/>
  <c r="H514" i="1"/>
  <c r="H378" i="1"/>
  <c r="H362" i="1"/>
  <c r="H698" i="1"/>
  <c r="H290" i="1"/>
  <c r="H478" i="1"/>
  <c r="H644" i="1"/>
  <c r="H6" i="1"/>
  <c r="H205" i="1"/>
  <c r="H214" i="1"/>
  <c r="H29" i="1"/>
  <c r="H336" i="1"/>
  <c r="H537" i="1"/>
  <c r="H847" i="1"/>
  <c r="H908" i="1"/>
  <c r="H655" i="1"/>
  <c r="H305" i="1"/>
  <c r="H796" i="1"/>
  <c r="H899" i="1"/>
  <c r="H313" i="1"/>
  <c r="H427" i="1"/>
  <c r="H547" i="1"/>
  <c r="H128" i="1"/>
  <c r="H118" i="1"/>
  <c r="H233" i="1"/>
  <c r="H546" i="1"/>
  <c r="H635" i="1"/>
  <c r="H634" i="1"/>
  <c r="H67" i="1"/>
  <c r="H607" i="1"/>
  <c r="H751" i="1"/>
  <c r="H66" i="1"/>
  <c r="H117" i="1"/>
  <c r="H526" i="1"/>
  <c r="H477" i="1"/>
  <c r="H470" i="1"/>
  <c r="H127" i="1"/>
  <c r="H101" i="1"/>
  <c r="H687" i="1"/>
  <c r="H704" i="1"/>
  <c r="H476" i="1"/>
  <c r="H860" i="1"/>
  <c r="H839" i="1"/>
  <c r="H281" i="1"/>
  <c r="H268" i="1"/>
  <c r="H194" i="1"/>
  <c r="H377" i="1"/>
  <c r="H426" i="1"/>
  <c r="H631" i="1"/>
  <c r="H47" i="1"/>
  <c r="H630" i="1"/>
  <c r="H750" i="1"/>
  <c r="H686" i="1"/>
  <c r="H455" i="1"/>
  <c r="H98" i="1"/>
  <c r="H185" i="1"/>
  <c r="H856" i="1"/>
  <c r="H821" i="1"/>
  <c r="H2" i="1"/>
  <c r="H925" i="1"/>
  <c r="H562" i="1"/>
  <c r="H503" i="1"/>
  <c r="H749" i="1"/>
  <c r="H44" i="1"/>
  <c r="H558" i="1"/>
  <c r="H863" i="1"/>
  <c r="H57" i="1"/>
  <c r="H545" i="1"/>
  <c r="H232" i="1"/>
  <c r="H825" i="1"/>
  <c r="H162" i="1"/>
  <c r="H845" i="1"/>
  <c r="H886" i="1"/>
  <c r="H385" i="1"/>
  <c r="H425" i="1"/>
  <c r="H536" i="1"/>
  <c r="H397" i="1"/>
  <c r="H764" i="1"/>
  <c r="H413" i="1"/>
  <c r="H161" i="1"/>
  <c r="H116" i="1"/>
  <c r="H848" i="1"/>
  <c r="H777" i="1"/>
  <c r="H213" i="1"/>
  <c r="H43" i="1"/>
  <c r="H463" i="1"/>
  <c r="H289" i="1"/>
  <c r="H77" i="1"/>
  <c r="H629" i="1"/>
  <c r="H424" i="1"/>
  <c r="H544" i="1"/>
  <c r="H150" i="1"/>
  <c r="H184" i="1"/>
  <c r="H894" i="1"/>
  <c r="H703" i="1"/>
  <c r="H54" i="1"/>
  <c r="H502" i="1"/>
  <c r="H824" i="1"/>
  <c r="H903" i="1"/>
  <c r="H469" i="1"/>
  <c r="H600" i="1"/>
  <c r="H33" i="1"/>
  <c r="H19" i="1"/>
  <c r="H614" i="1"/>
  <c r="H93" i="1"/>
  <c r="H613" i="1"/>
  <c r="H782" i="1"/>
  <c r="H8" i="1"/>
  <c r="H823" i="1"/>
  <c r="H931" i="1"/>
  <c r="H906" i="1"/>
  <c r="H273" i="1"/>
  <c r="H183" i="1"/>
  <c r="H855" i="1"/>
  <c r="H126" i="1"/>
  <c r="H489" i="1"/>
  <c r="H896" i="1"/>
  <c r="H115" i="1"/>
  <c r="H23" i="1"/>
  <c r="H440" i="1"/>
  <c r="H251" i="1"/>
  <c r="H439" i="1"/>
  <c r="H710" i="1"/>
  <c r="H801" i="1"/>
  <c r="H335" i="1"/>
  <c r="H475" i="1"/>
  <c r="H462" i="1"/>
  <c r="H773" i="1"/>
  <c r="H56" i="1"/>
  <c r="H501" i="1"/>
  <c r="H174" i="1"/>
  <c r="H763" i="1"/>
  <c r="H596" i="1"/>
  <c r="H344" i="1"/>
  <c r="H438" i="1"/>
  <c r="H525" i="1"/>
  <c r="H149" i="1"/>
  <c r="H606" i="1"/>
  <c r="H83" i="1"/>
  <c r="H789" i="1"/>
  <c r="H60" i="1"/>
  <c r="H900" i="1"/>
  <c r="H535" i="1"/>
  <c r="H647" i="1"/>
  <c r="H663" i="1"/>
  <c r="H42" i="1"/>
  <c r="H695" i="1"/>
  <c r="H488" i="1"/>
  <c r="H910" i="1"/>
  <c r="H594" i="1"/>
  <c r="H557" i="1"/>
  <c r="H212" i="1"/>
  <c r="H412" i="1"/>
  <c r="H204" i="1"/>
  <c r="H46" i="1"/>
  <c r="H654" i="1"/>
  <c r="H621" i="1"/>
  <c r="H844" i="1"/>
  <c r="H612" i="1"/>
  <c r="H437" i="1"/>
  <c r="H304" i="1"/>
  <c r="H423" i="1"/>
  <c r="H148" i="1"/>
  <c r="H106" i="1"/>
  <c r="H717" i="1"/>
  <c r="H841" i="1"/>
  <c r="H422" i="1"/>
  <c r="H125" i="1"/>
  <c r="H303" i="1"/>
  <c r="H852" i="1"/>
  <c r="H461" i="1"/>
  <c r="H5" i="1"/>
  <c r="H76" i="1"/>
  <c r="H454" i="1"/>
  <c r="H881" i="1"/>
  <c r="H882" i="1"/>
  <c r="H62" i="1"/>
  <c r="H140" i="1"/>
  <c r="H838" i="1"/>
  <c r="H460" i="1"/>
  <c r="H376" i="1"/>
  <c r="H865" i="1"/>
  <c r="H793" i="1"/>
  <c r="H53" i="1"/>
  <c r="H873" i="1"/>
  <c r="H421" i="1"/>
  <c r="H124" i="1"/>
  <c r="H267" i="1"/>
  <c r="H100" i="1"/>
  <c r="H361" i="1"/>
  <c r="H843" i="1"/>
  <c r="H436" i="1"/>
  <c r="H225" i="1"/>
  <c r="H577" i="1"/>
  <c r="H334" i="1"/>
  <c r="H668" i="1"/>
  <c r="H768" i="1"/>
  <c r="H653" i="1"/>
  <c r="H816" i="1"/>
  <c r="H676" i="1"/>
  <c r="H554" i="1"/>
  <c r="H746" i="1"/>
  <c r="H620" i="1"/>
  <c r="H561" i="1"/>
  <c r="H420" i="1"/>
  <c r="H723" i="1"/>
  <c r="H487" i="1"/>
  <c r="H75" i="1"/>
  <c r="H628" i="1"/>
  <c r="H326" i="1"/>
  <c r="H240" i="1"/>
  <c r="H139" i="1"/>
  <c r="H74" i="1"/>
  <c r="H662" i="1"/>
  <c r="H486" i="1"/>
  <c r="H722" i="1"/>
  <c r="H138" i="1"/>
  <c r="H804" i="1"/>
  <c r="H7" i="1"/>
  <c r="H392" i="1"/>
  <c r="H435" i="1"/>
  <c r="H729" i="1"/>
  <c r="H803" i="1"/>
  <c r="H302" i="1"/>
  <c r="H343" i="1"/>
  <c r="H895" i="1"/>
  <c r="H231" i="1"/>
  <c r="H78" i="1"/>
  <c r="H919" i="1"/>
  <c r="H770" i="1"/>
  <c r="H250" i="1"/>
  <c r="H193" i="1"/>
  <c r="H105" i="1"/>
  <c r="H51" i="1"/>
  <c r="H619" i="1"/>
  <c r="H694" i="1"/>
  <c r="H732" i="1"/>
  <c r="H166" i="1"/>
  <c r="H301" i="1"/>
  <c r="H266" i="1"/>
  <c r="H807" i="1"/>
  <c r="H211" i="1"/>
  <c r="H500" i="1"/>
  <c r="H354" i="1"/>
  <c r="H219" i="1"/>
  <c r="H182" i="1"/>
  <c r="H265" i="1"/>
  <c r="H453" i="1"/>
  <c r="H218" i="1"/>
  <c r="H264" i="1"/>
  <c r="H165" i="1"/>
  <c r="H164" i="1"/>
  <c r="H474" i="1"/>
  <c r="H473" i="1"/>
  <c r="H360" i="1"/>
  <c r="H709" i="1"/>
  <c r="H224" i="1"/>
  <c r="H627" i="1"/>
  <c r="H333" i="1"/>
  <c r="H375" i="1"/>
  <c r="H203" i="1"/>
  <c r="H411" i="1"/>
  <c r="H693" i="1"/>
  <c r="H202" i="1"/>
  <c r="H223" i="1"/>
  <c r="H147" i="1"/>
  <c r="H748" i="1"/>
  <c r="H802" i="1"/>
  <c r="H87" i="1"/>
  <c r="H332" i="1"/>
  <c r="H781" i="1"/>
  <c r="H263" i="1"/>
  <c r="H210" i="1"/>
  <c r="H569" i="1"/>
  <c r="H92" i="1"/>
  <c r="H374" i="1"/>
  <c r="H452" i="1"/>
  <c r="H618" i="1"/>
  <c r="H160" i="1"/>
  <c r="H556" i="1"/>
  <c r="H373" i="1"/>
  <c r="H934" i="1"/>
  <c r="H272" i="1"/>
  <c r="H419" i="1"/>
  <c r="H239" i="1"/>
  <c r="H123" i="1"/>
  <c r="H18" i="1"/>
  <c r="H576" i="1"/>
  <c r="H288" i="1"/>
  <c r="H468" i="1"/>
  <c r="H593" i="1"/>
  <c r="H159" i="1"/>
  <c r="H485" i="1"/>
  <c r="H137" i="1"/>
  <c r="H745" i="1"/>
  <c r="H262" i="1"/>
  <c r="H136" i="1"/>
  <c r="H534" i="1"/>
  <c r="H767" i="1"/>
  <c r="H391" i="1"/>
  <c r="H913" i="1"/>
  <c r="H459" i="1"/>
  <c r="H798" i="1"/>
  <c r="H728" i="1"/>
  <c r="H73" i="1"/>
  <c r="H261" i="1"/>
  <c r="H410" i="1"/>
  <c r="H384" i="1"/>
  <c r="H909" i="1"/>
  <c r="H822" i="1"/>
  <c r="H353" i="1"/>
  <c r="H32" i="1"/>
  <c r="H325" i="1"/>
  <c r="H287" i="1"/>
  <c r="H52" i="1"/>
  <c r="H759" i="1"/>
  <c r="H800" i="1"/>
  <c r="H409" i="1"/>
  <c r="H260" i="1"/>
  <c r="H217" i="1"/>
  <c r="H883" i="1"/>
  <c r="H675" i="1"/>
  <c r="H553" i="1"/>
  <c r="H674" i="1"/>
  <c r="H797" i="1"/>
  <c r="H864" i="1"/>
  <c r="H372" i="1"/>
  <c r="H59" i="1"/>
  <c r="H259" i="1"/>
  <c r="H788" i="1"/>
  <c r="H146" i="1"/>
  <c r="H72" i="1"/>
  <c r="H592" i="1"/>
  <c r="H697" i="1"/>
  <c r="H192" i="1"/>
  <c r="H568" i="1"/>
  <c r="H173" i="1"/>
  <c r="H820" i="1"/>
  <c r="H837" i="1"/>
  <c r="H359" i="1"/>
  <c r="H499" i="1"/>
  <c r="H889" i="1"/>
  <c r="H828" i="1"/>
  <c r="H708" i="1"/>
  <c r="H390" i="1"/>
  <c r="H661" i="1"/>
  <c r="H82" i="1"/>
  <c r="H567" i="1"/>
  <c r="H813" i="1"/>
  <c r="H65" i="1"/>
  <c r="H26" i="1"/>
  <c r="H862" i="1"/>
  <c r="H754" i="1"/>
  <c r="H692" i="1"/>
  <c r="H358" i="1"/>
  <c r="H543" i="1"/>
  <c r="H611" i="1"/>
  <c r="H163" i="1"/>
  <c r="H907" i="1"/>
  <c r="H513" i="1"/>
  <c r="H898" i="1"/>
  <c r="H916" i="1"/>
  <c r="H216" i="1"/>
  <c r="H13" i="1"/>
  <c r="H776" i="1"/>
  <c r="H893" i="1"/>
  <c r="H905" i="1"/>
  <c r="H575" i="1"/>
  <c r="H249" i="1"/>
  <c r="H780" i="1"/>
  <c r="H484" i="1"/>
  <c r="H911" i="1"/>
  <c r="H707" i="1"/>
  <c r="H86" i="1"/>
  <c r="H766" i="1"/>
  <c r="H248" i="1"/>
  <c r="H868" i="1"/>
  <c r="H114" i="1"/>
  <c r="H599" i="1"/>
  <c r="H819" i="1"/>
  <c r="H744" i="1"/>
  <c r="H158" i="1"/>
  <c r="H827" i="1"/>
  <c r="H667" i="1"/>
  <c r="H238" i="1"/>
  <c r="H483" i="1"/>
  <c r="H418" i="1"/>
  <c r="H836" i="1"/>
  <c r="H736" i="1"/>
  <c r="H660" i="1"/>
  <c r="H835" i="1"/>
  <c r="H191" i="1"/>
  <c r="H451" i="1"/>
  <c r="H923" i="1"/>
  <c r="H880" i="1"/>
  <c r="H472" i="1"/>
  <c r="H743" i="1"/>
  <c r="H524" i="1"/>
  <c r="H247" i="1"/>
  <c r="H875" i="1"/>
  <c r="H383" i="1"/>
  <c r="H357" i="1"/>
  <c r="H450" i="1"/>
  <c r="H300" i="1"/>
  <c r="H181" i="1"/>
  <c r="H774" i="1"/>
  <c r="H371" i="1"/>
  <c r="H172" i="1"/>
  <c r="H97" i="1"/>
  <c r="H643" i="1"/>
  <c r="H215" i="1"/>
  <c r="H659" i="1"/>
  <c r="H739" i="1"/>
  <c r="H356" i="1"/>
  <c r="H591" i="1"/>
  <c r="H201" i="1"/>
  <c r="H17" i="1"/>
  <c r="H924" i="1"/>
  <c r="H94" i="1"/>
  <c r="H742" i="1"/>
  <c r="H352" i="1"/>
  <c r="H787" i="1"/>
  <c r="H512" i="1"/>
  <c r="H286" i="1"/>
  <c r="H81" i="1"/>
  <c r="H10" i="1"/>
  <c r="H22" i="1"/>
  <c r="H590" i="1"/>
  <c r="H299" i="1"/>
  <c r="H171" i="1"/>
  <c r="H396" i="1"/>
  <c r="H533" i="1"/>
  <c r="H370" i="1"/>
  <c r="H369" i="1"/>
  <c r="H658" i="1"/>
  <c r="H324" i="1"/>
  <c r="H145" i="1"/>
  <c r="H434" i="1"/>
  <c r="H157" i="1"/>
  <c r="H280" i="1"/>
  <c r="H135" i="1"/>
  <c r="H368" i="1"/>
  <c r="H706" i="1"/>
  <c r="H642" i="1"/>
  <c r="H523" i="1"/>
  <c r="H342" i="1"/>
  <c r="H552" i="1"/>
  <c r="H932" i="1"/>
  <c r="H691" i="1"/>
  <c r="H779" i="1"/>
  <c r="H96" i="1"/>
  <c r="H532" i="1"/>
  <c r="H156" i="1"/>
  <c r="H80" i="1"/>
  <c r="H885" i="1"/>
  <c r="H574" i="1"/>
  <c r="H685" i="1"/>
  <c r="H482" i="1"/>
  <c r="H246" i="1"/>
  <c r="H230" i="1"/>
  <c r="H818" i="1"/>
  <c r="H498" i="1"/>
  <c r="H444" i="1"/>
  <c r="H897" i="1"/>
  <c r="H323" i="1"/>
  <c r="H589" i="1"/>
  <c r="H901" i="1"/>
  <c r="H869" i="1"/>
  <c r="H929" i="1"/>
  <c r="H180" i="1"/>
  <c r="H433" i="1"/>
  <c r="H511" i="1"/>
  <c r="H9" i="1"/>
  <c r="H113" i="1"/>
  <c r="H389" i="1"/>
  <c r="H179" i="1"/>
  <c r="H104" i="1"/>
  <c r="H684" i="1"/>
  <c r="H758" i="1"/>
  <c r="H690" i="1"/>
  <c r="H237" i="1"/>
  <c r="H458" i="1"/>
  <c r="H861" i="1"/>
  <c r="H551" i="1"/>
  <c r="H122" i="1"/>
  <c r="H91" i="1"/>
  <c r="H522" i="1"/>
  <c r="H673" i="1"/>
  <c r="H927" i="1"/>
  <c r="H134" i="1"/>
  <c r="H322" i="1"/>
  <c r="H716" i="1"/>
  <c r="H933" i="1"/>
  <c r="H735" i="1"/>
  <c r="H832" i="1"/>
  <c r="H683" i="1"/>
  <c r="H610" i="1"/>
  <c r="H109" i="1"/>
  <c r="H285" i="1"/>
  <c r="H341" i="1"/>
  <c r="H652" i="1"/>
  <c r="H786" i="1"/>
  <c r="H408" i="1"/>
  <c r="H129" i="1"/>
  <c r="H573" i="1"/>
  <c r="H209" i="1"/>
  <c r="H588" i="1"/>
  <c r="H417" i="1"/>
  <c r="H321" i="1"/>
  <c r="H388" i="1"/>
  <c r="H521" i="1"/>
  <c r="H633" i="1"/>
  <c r="H727" i="1"/>
  <c r="H85" i="1"/>
  <c r="H762" i="1"/>
  <c r="H497" i="1"/>
  <c r="H258" i="1"/>
  <c r="H922" i="1"/>
  <c r="H320" i="1"/>
  <c r="H572" i="1"/>
  <c r="H312" i="1"/>
  <c r="H651" i="1"/>
  <c r="H531" i="1"/>
  <c r="H311" i="1"/>
  <c r="H407" i="1"/>
  <c r="H310" i="1"/>
  <c r="H50" i="1"/>
  <c r="H904" i="1"/>
  <c r="H298" i="1"/>
  <c r="H155" i="1"/>
  <c r="H245" i="1"/>
  <c r="H297" i="1"/>
  <c r="H871" i="1"/>
  <c r="H170" i="1"/>
  <c r="H926" i="1"/>
  <c r="H121" i="1"/>
  <c r="H271" i="1"/>
  <c r="H510" i="1"/>
  <c r="H888" i="1"/>
  <c r="H626" i="1"/>
  <c r="H4" i="1"/>
  <c r="H169" i="1"/>
  <c r="H467" i="1"/>
  <c r="H178" i="1"/>
  <c r="H382" i="1"/>
  <c r="H914" i="1"/>
  <c r="H279" i="1"/>
  <c r="H36" i="1"/>
  <c r="H351" i="1"/>
  <c r="H792" i="1"/>
  <c r="H582" i="1"/>
  <c r="H721" i="1"/>
  <c r="H190" i="1"/>
  <c r="H319" i="1"/>
  <c r="H406" i="1"/>
  <c r="H530" i="1"/>
  <c r="H257" i="1"/>
  <c r="H769" i="1"/>
  <c r="H726" i="1"/>
  <c r="H256" i="1"/>
  <c r="H595" i="1"/>
  <c r="H355" i="1"/>
  <c r="H108" i="1"/>
  <c r="H641" i="1"/>
  <c r="H720" i="1"/>
  <c r="H930" i="1"/>
  <c r="H481" i="1"/>
  <c r="H278" i="1"/>
  <c r="H912" i="1"/>
  <c r="H625" i="1"/>
  <c r="H657" i="1"/>
  <c r="H581" i="1"/>
  <c r="H222" i="1"/>
  <c r="H405" i="1"/>
  <c r="H812" i="1"/>
  <c r="H154" i="1"/>
  <c r="H367" i="1"/>
  <c r="H449" i="1"/>
  <c r="H255" i="1"/>
  <c r="H859" i="1"/>
  <c r="H309" i="1"/>
  <c r="H640" i="1"/>
  <c r="H254" i="1"/>
  <c r="H878" i="1"/>
  <c r="H3" i="1"/>
  <c r="H208" i="1"/>
  <c r="H131" i="1"/>
  <c r="H587" i="1"/>
  <c r="H937" i="1"/>
  <c r="H689" i="1"/>
  <c r="H350" i="1"/>
  <c r="H586" i="1"/>
  <c r="H842" i="1"/>
  <c r="H200" i="1"/>
  <c r="H867" i="1"/>
  <c r="H580" i="1"/>
  <c r="H112" i="1"/>
  <c r="H71" i="1"/>
  <c r="H144" i="1"/>
  <c r="H404" i="1"/>
  <c r="H560" i="1"/>
  <c r="H49" i="1"/>
  <c r="H35" i="1"/>
  <c r="H25" i="1"/>
  <c r="H785" i="1"/>
  <c r="H520" i="1"/>
  <c r="H734" i="1"/>
  <c r="H761" i="1"/>
  <c r="H448" i="1"/>
  <c r="H872" i="1"/>
  <c r="H366" i="1"/>
  <c r="H432" i="1"/>
  <c r="H340" i="1"/>
  <c r="H416" i="1"/>
  <c r="H90" i="1"/>
  <c r="H253" i="1"/>
  <c r="H308" i="1"/>
  <c r="H585" i="1"/>
  <c r="H550" i="1"/>
  <c r="H666" i="1"/>
  <c r="H89" i="1"/>
  <c r="H584" i="1"/>
  <c r="H111" i="1"/>
  <c r="H381" i="1"/>
  <c r="H331" i="1"/>
  <c r="H542" i="1"/>
  <c r="H650" i="1"/>
  <c r="H403" i="1"/>
  <c r="H21" i="1"/>
  <c r="H402" i="1"/>
  <c r="H921" i="1"/>
  <c r="H566" i="1"/>
  <c r="H349" i="1"/>
  <c r="H639" i="1"/>
  <c r="H509" i="1"/>
  <c r="H330" i="1"/>
  <c r="H866" i="1"/>
  <c r="H496" i="1"/>
  <c r="H401" i="1"/>
  <c r="H918" i="1"/>
  <c r="H682" i="1"/>
  <c r="H508" i="1"/>
  <c r="H731" i="1"/>
  <c r="H834" i="1"/>
  <c r="H672" i="1"/>
  <c r="H318" i="1"/>
  <c r="H738" i="1"/>
  <c r="H795" i="1"/>
  <c r="H681" i="1"/>
  <c r="H725" i="1"/>
  <c r="H715" i="1"/>
  <c r="H598" i="1"/>
  <c r="H199" i="1"/>
  <c r="H519" i="1"/>
  <c r="H348" i="1"/>
  <c r="H15" i="1"/>
  <c r="H41" i="1"/>
  <c r="H879" i="1"/>
  <c r="H34" i="1"/>
  <c r="H130" i="1"/>
  <c r="H277" i="1"/>
  <c r="H28" i="1"/>
  <c r="H88" i="1"/>
  <c r="H705" i="1"/>
  <c r="H38" i="1"/>
  <c r="H133" i="1"/>
  <c r="H168" i="1"/>
  <c r="H696" i="1"/>
  <c r="H858" i="1"/>
  <c r="H688" i="1"/>
  <c r="H447" i="1"/>
  <c r="H507" i="1"/>
  <c r="H58" i="1"/>
  <c r="H890" i="1"/>
  <c r="H221" i="1"/>
  <c r="H733" i="1"/>
  <c r="H617" i="1"/>
  <c r="H189" i="1"/>
  <c r="H680" i="1"/>
  <c r="H12" i="1"/>
  <c r="H466" i="1"/>
  <c r="H555" i="1"/>
  <c r="H609" i="1"/>
  <c r="H40" i="1"/>
  <c r="H207" i="1"/>
  <c r="H143" i="1"/>
  <c r="H506" i="1"/>
  <c r="H317" i="1"/>
  <c r="H638" i="1"/>
  <c r="H854" i="1"/>
  <c r="H103" i="1"/>
  <c r="H791" i="1"/>
  <c r="H198" i="1"/>
  <c r="H853" i="1"/>
  <c r="H443" i="1"/>
  <c r="H632" i="1"/>
  <c r="H495" i="1"/>
  <c r="H887" i="1"/>
  <c r="H99" i="1"/>
  <c r="H110" i="1"/>
  <c r="H935" i="1"/>
  <c r="H188" i="1"/>
  <c r="H665" i="1"/>
  <c r="H400" i="1"/>
  <c r="H702" i="1"/>
  <c r="H120" i="1"/>
  <c r="H565" i="1"/>
  <c r="H809" i="1"/>
  <c r="H132" i="1"/>
  <c r="H701" i="1"/>
  <c r="H102" i="1"/>
  <c r="H399" i="1"/>
  <c r="H431" i="1"/>
  <c r="H679" i="1"/>
  <c r="H649" i="1"/>
  <c r="H430" i="1"/>
  <c r="H270" i="1"/>
  <c r="H757" i="1"/>
  <c r="H37" i="1"/>
  <c r="H671" i="1"/>
  <c r="H446" i="1"/>
  <c r="H518" i="1"/>
  <c r="H244" i="1"/>
  <c r="H316" i="1"/>
  <c r="H395" i="1"/>
  <c r="H339" i="1"/>
  <c r="H870" i="1"/>
  <c r="H670" i="1"/>
  <c r="H747" i="1"/>
  <c r="H529" i="1"/>
  <c r="H365" i="1"/>
  <c r="H817" i="1"/>
  <c r="H772" i="1"/>
  <c r="H197" i="1"/>
  <c r="H811" i="1"/>
  <c r="H760" i="1"/>
  <c r="H236" i="1"/>
  <c r="H892" i="1"/>
  <c r="H187" i="1"/>
  <c r="H398" i="1"/>
  <c r="H851" i="1"/>
  <c r="H380" i="1"/>
  <c r="H379" i="1"/>
  <c r="H119" i="1"/>
  <c r="H296" i="1"/>
  <c r="H153" i="1"/>
  <c r="H571" i="1"/>
  <c r="H656" i="1"/>
  <c r="H784" i="1"/>
  <c r="H505" i="1"/>
  <c r="H815" i="1"/>
  <c r="H494" i="1"/>
  <c r="H229" i="1"/>
  <c r="H228" i="1"/>
  <c r="H465" i="1"/>
  <c r="H775" i="1"/>
  <c r="H415" i="1"/>
  <c r="H493" i="1"/>
  <c r="H11" i="1"/>
  <c r="H107" i="1"/>
  <c r="H753" i="1"/>
  <c r="H177" i="1"/>
  <c r="H176" i="1"/>
  <c r="H329" i="1"/>
  <c r="H243" i="1"/>
  <c r="H700" i="1"/>
  <c r="H605" i="1"/>
  <c r="H756" i="1"/>
  <c r="H142" i="1"/>
  <c r="H79" i="1"/>
  <c r="H429" i="1"/>
  <c r="H884" i="1"/>
  <c r="H480" i="1"/>
  <c r="H14" i="1"/>
  <c r="H471" i="1"/>
  <c r="H16" i="1"/>
  <c r="H206" i="1"/>
  <c r="H604" i="1"/>
  <c r="H27" i="1"/>
  <c r="H175" i="1"/>
  <c r="H783" i="1"/>
  <c r="H152" i="1"/>
  <c r="H810" i="1"/>
  <c r="H61" i="1"/>
  <c r="H741" i="1"/>
  <c r="H84" i="1"/>
  <c r="H831" i="1"/>
  <c r="H242" i="1"/>
  <c r="H724" i="1"/>
  <c r="H241" i="1"/>
  <c r="H387" i="1"/>
  <c r="H669" i="1"/>
  <c r="H794" i="1"/>
  <c r="H850" i="1"/>
  <c r="H141" i="1"/>
  <c r="H328" i="1"/>
  <c r="H95" i="1"/>
  <c r="H196" i="1"/>
  <c r="H55" i="1"/>
  <c r="H364" i="1"/>
  <c r="H559" i="1"/>
  <c r="H830" i="1"/>
  <c r="H597" i="1"/>
  <c r="H877" i="1"/>
  <c r="H648" i="1"/>
  <c r="H699" i="1"/>
  <c r="H874" i="1"/>
  <c r="H771" i="1"/>
  <c r="H39" i="1"/>
  <c r="H846" i="1"/>
  <c r="H570" i="1"/>
  <c r="H541" i="1"/>
  <c r="H540" i="1"/>
  <c r="H616" i="1"/>
  <c r="H891" i="1"/>
  <c r="H876" i="1"/>
  <c r="H394" i="1"/>
  <c r="H517" i="1"/>
  <c r="H752" i="1"/>
  <c r="H220" i="1"/>
  <c r="H227" i="1"/>
  <c r="H347" i="1"/>
  <c r="H48" i="1"/>
  <c r="H492" i="1"/>
  <c r="H840" i="1"/>
  <c r="H564" i="1"/>
  <c r="H740" i="1"/>
  <c r="H235" i="1"/>
  <c r="H479" i="1"/>
  <c r="H849" i="1"/>
  <c r="H637" i="1"/>
  <c r="H276" i="1"/>
  <c r="H457" i="1"/>
  <c r="H915" i="1"/>
  <c r="H284" i="1"/>
  <c r="H24" i="1"/>
  <c r="H603" i="1"/>
  <c r="H719" i="1"/>
  <c r="H806" i="1"/>
  <c r="H826" i="1"/>
  <c r="H917" i="1"/>
  <c r="H664" i="1"/>
  <c r="H579" i="1"/>
  <c r="H195" i="1"/>
  <c r="H252" i="1"/>
  <c r="H442" i="1"/>
  <c r="H602" i="1"/>
  <c r="H295" i="1"/>
  <c r="H936" i="1"/>
  <c r="H539" i="1"/>
  <c r="H678" i="1"/>
  <c r="H730" i="1"/>
  <c r="H516" i="1"/>
  <c r="H714" i="1"/>
  <c r="F805" i="1"/>
  <c r="F393" i="1"/>
  <c r="F234" i="1"/>
  <c r="F857" i="1"/>
  <c r="F464" i="1"/>
  <c r="F563" i="1"/>
  <c r="F275" i="1"/>
  <c r="F713" i="1"/>
  <c r="F186" i="1"/>
  <c r="F778" i="1"/>
  <c r="F294" i="1"/>
  <c r="F274" i="1"/>
  <c r="F441" i="1"/>
  <c r="F829" i="1"/>
  <c r="F338" i="1"/>
  <c r="F624" i="1"/>
  <c r="F68" i="1"/>
  <c r="F337" i="1"/>
  <c r="F712" i="1"/>
  <c r="F549" i="1"/>
  <c r="F456" i="1"/>
  <c r="F646" i="1"/>
  <c r="F608" i="1"/>
  <c r="F307" i="1"/>
  <c r="F711" i="1"/>
  <c r="F226" i="1"/>
  <c r="F269" i="1"/>
  <c r="F31" i="1"/>
  <c r="F538" i="1"/>
  <c r="F327" i="1"/>
  <c r="F64" i="1"/>
  <c r="F306" i="1"/>
  <c r="F928" i="1"/>
  <c r="F70" i="1"/>
  <c r="F69" i="1"/>
  <c r="F920" i="1"/>
  <c r="F528" i="1"/>
  <c r="F45" i="1"/>
  <c r="F386" i="1"/>
  <c r="F414" i="1"/>
  <c r="F677" i="1"/>
  <c r="F623" i="1"/>
  <c r="F737" i="1"/>
  <c r="F578" i="1"/>
  <c r="F293" i="1"/>
  <c r="F790" i="1"/>
  <c r="F808" i="1"/>
  <c r="F718" i="1"/>
  <c r="F645" i="1"/>
  <c r="F833" i="1"/>
  <c r="F615" i="1"/>
  <c r="F283" i="1"/>
  <c r="F527" i="1"/>
  <c r="F765" i="1"/>
  <c r="F63" i="1"/>
  <c r="F315" i="1"/>
  <c r="F314" i="1"/>
  <c r="F548" i="1"/>
  <c r="F814" i="1"/>
  <c r="F799" i="1"/>
  <c r="F363" i="1"/>
  <c r="F601" i="1"/>
  <c r="F583" i="1"/>
  <c r="F755" i="1"/>
  <c r="F445" i="1"/>
  <c r="F292" i="1"/>
  <c r="F346" i="1"/>
  <c r="F636" i="1"/>
  <c r="F428" i="1"/>
  <c r="F345" i="1"/>
  <c r="F30" i="1"/>
  <c r="F20" i="1"/>
  <c r="F291" i="1"/>
  <c r="F504" i="1"/>
  <c r="F902" i="1"/>
  <c r="F491" i="1"/>
  <c r="F151" i="1"/>
  <c r="F622" i="1"/>
  <c r="F167" i="1"/>
  <c r="F282" i="1"/>
  <c r="F515" i="1"/>
  <c r="F490" i="1"/>
  <c r="F514" i="1"/>
  <c r="F378" i="1"/>
  <c r="F362" i="1"/>
  <c r="F698" i="1"/>
  <c r="F290" i="1"/>
  <c r="F478" i="1"/>
  <c r="F644" i="1"/>
  <c r="F6" i="1"/>
  <c r="F205" i="1"/>
  <c r="F214" i="1"/>
  <c r="F29" i="1"/>
  <c r="F336" i="1"/>
  <c r="F537" i="1"/>
  <c r="F847" i="1"/>
  <c r="F908" i="1"/>
  <c r="F655" i="1"/>
  <c r="F305" i="1"/>
  <c r="F796" i="1"/>
  <c r="F899" i="1"/>
  <c r="F313" i="1"/>
  <c r="F427" i="1"/>
  <c r="F547" i="1"/>
  <c r="F128" i="1"/>
  <c r="F118" i="1"/>
  <c r="F233" i="1"/>
  <c r="F546" i="1"/>
  <c r="F635" i="1"/>
  <c r="F67" i="1"/>
  <c r="F607" i="1"/>
  <c r="F751" i="1"/>
  <c r="F66" i="1"/>
  <c r="F117" i="1"/>
  <c r="F526" i="1"/>
  <c r="F477" i="1"/>
  <c r="F470" i="1"/>
  <c r="F127" i="1"/>
  <c r="F101" i="1"/>
  <c r="F687" i="1"/>
  <c r="F704" i="1"/>
  <c r="F476" i="1"/>
  <c r="F860" i="1"/>
  <c r="F839" i="1"/>
  <c r="F281" i="1"/>
  <c r="F268" i="1"/>
  <c r="F194" i="1"/>
  <c r="F377" i="1"/>
  <c r="F426" i="1"/>
  <c r="F631" i="1"/>
  <c r="F47" i="1"/>
  <c r="F630" i="1"/>
  <c r="F750" i="1"/>
  <c r="F686" i="1"/>
  <c r="F455" i="1"/>
  <c r="F98" i="1"/>
  <c r="F185" i="1"/>
  <c r="F856" i="1"/>
  <c r="F821" i="1"/>
  <c r="F2" i="1"/>
  <c r="F925" i="1"/>
  <c r="F562" i="1"/>
  <c r="F503" i="1"/>
  <c r="F749" i="1"/>
  <c r="F44" i="1"/>
  <c r="F558" i="1"/>
  <c r="F863" i="1"/>
  <c r="F57" i="1"/>
  <c r="F545" i="1"/>
  <c r="F232" i="1"/>
  <c r="F825" i="1"/>
  <c r="F162" i="1"/>
  <c r="F845" i="1"/>
  <c r="F886" i="1"/>
  <c r="F385" i="1"/>
  <c r="F425" i="1"/>
  <c r="F536" i="1"/>
  <c r="F397" i="1"/>
  <c r="F764" i="1"/>
  <c r="F413" i="1"/>
  <c r="F161" i="1"/>
  <c r="F116" i="1"/>
  <c r="F848" i="1"/>
  <c r="F777" i="1"/>
  <c r="F213" i="1"/>
  <c r="F43" i="1"/>
  <c r="F463" i="1"/>
  <c r="F289" i="1"/>
  <c r="F77" i="1"/>
  <c r="F629" i="1"/>
  <c r="F424" i="1"/>
  <c r="F544" i="1"/>
  <c r="F150" i="1"/>
  <c r="F184" i="1"/>
  <c r="F894" i="1"/>
  <c r="F703" i="1"/>
  <c r="F54" i="1"/>
  <c r="F502" i="1"/>
  <c r="F824" i="1"/>
  <c r="F903" i="1"/>
  <c r="F469" i="1"/>
  <c r="F600" i="1"/>
  <c r="F33" i="1"/>
  <c r="F19" i="1"/>
  <c r="F614" i="1"/>
  <c r="F93" i="1"/>
  <c r="F613" i="1"/>
  <c r="F782" i="1"/>
  <c r="F8" i="1"/>
  <c r="F823" i="1"/>
  <c r="F931" i="1"/>
  <c r="F906" i="1"/>
  <c r="F273" i="1"/>
  <c r="F183" i="1"/>
  <c r="F855" i="1"/>
  <c r="F126" i="1"/>
  <c r="F489" i="1"/>
  <c r="F896" i="1"/>
  <c r="F115" i="1"/>
  <c r="F23" i="1"/>
  <c r="F440" i="1"/>
  <c r="F251" i="1"/>
  <c r="F439" i="1"/>
  <c r="F710" i="1"/>
  <c r="F801" i="1"/>
  <c r="F335" i="1"/>
  <c r="F475" i="1"/>
  <c r="F462" i="1"/>
  <c r="F773" i="1"/>
  <c r="F56" i="1"/>
  <c r="F501" i="1"/>
  <c r="F174" i="1"/>
  <c r="F763" i="1"/>
  <c r="F596" i="1"/>
  <c r="F344" i="1"/>
  <c r="F438" i="1"/>
  <c r="F525" i="1"/>
  <c r="F149" i="1"/>
  <c r="F606" i="1"/>
  <c r="F83" i="1"/>
  <c r="F789" i="1"/>
  <c r="F60" i="1"/>
  <c r="F535" i="1"/>
  <c r="F647" i="1"/>
  <c r="F663" i="1"/>
  <c r="F42" i="1"/>
  <c r="F695" i="1"/>
  <c r="F488" i="1"/>
  <c r="F910" i="1"/>
  <c r="F594" i="1"/>
  <c r="F557" i="1"/>
  <c r="F212" i="1"/>
  <c r="F412" i="1"/>
  <c r="F204" i="1"/>
  <c r="F46" i="1"/>
  <c r="F654" i="1"/>
  <c r="F621" i="1"/>
  <c r="F844" i="1"/>
  <c r="F612" i="1"/>
  <c r="F437" i="1"/>
  <c r="F304" i="1"/>
  <c r="F423" i="1"/>
  <c r="F148" i="1"/>
  <c r="F106" i="1"/>
  <c r="F717" i="1"/>
  <c r="F841" i="1"/>
  <c r="F422" i="1"/>
  <c r="F125" i="1"/>
  <c r="F303" i="1"/>
  <c r="F852" i="1"/>
  <c r="F461" i="1"/>
  <c r="F5" i="1"/>
  <c r="F76" i="1"/>
  <c r="F454" i="1"/>
  <c r="F881" i="1"/>
  <c r="F882" i="1"/>
  <c r="F62" i="1"/>
  <c r="F140" i="1"/>
  <c r="F838" i="1"/>
  <c r="F460" i="1"/>
  <c r="F376" i="1"/>
  <c r="F865" i="1"/>
  <c r="F793" i="1"/>
  <c r="F53" i="1"/>
  <c r="F873" i="1"/>
  <c r="F421" i="1"/>
  <c r="F124" i="1"/>
  <c r="F267" i="1"/>
  <c r="F100" i="1"/>
  <c r="F361" i="1"/>
  <c r="F843" i="1"/>
  <c r="F436" i="1"/>
  <c r="F225" i="1"/>
  <c r="F577" i="1"/>
  <c r="F334" i="1"/>
  <c r="F668" i="1"/>
  <c r="F768" i="1"/>
  <c r="F653" i="1"/>
  <c r="F816" i="1"/>
  <c r="F676" i="1"/>
  <c r="F554" i="1"/>
  <c r="F746" i="1"/>
  <c r="F620" i="1"/>
  <c r="F561" i="1"/>
  <c r="F420" i="1"/>
  <c r="F723" i="1"/>
  <c r="F487" i="1"/>
  <c r="F75" i="1"/>
  <c r="F628" i="1"/>
  <c r="F326" i="1"/>
  <c r="F240" i="1"/>
  <c r="F139" i="1"/>
  <c r="F74" i="1"/>
  <c r="F662" i="1"/>
  <c r="F486" i="1"/>
  <c r="F722" i="1"/>
  <c r="F138" i="1"/>
  <c r="F804" i="1"/>
  <c r="F7" i="1"/>
  <c r="F392" i="1"/>
  <c r="F435" i="1"/>
  <c r="F729" i="1"/>
  <c r="F803" i="1"/>
  <c r="F302" i="1"/>
  <c r="F343" i="1"/>
  <c r="F895" i="1"/>
  <c r="F231" i="1"/>
  <c r="F78" i="1"/>
  <c r="F919" i="1"/>
  <c r="F770" i="1"/>
  <c r="F250" i="1"/>
  <c r="F193" i="1"/>
  <c r="F105" i="1"/>
  <c r="F51" i="1"/>
  <c r="F619" i="1"/>
  <c r="F694" i="1"/>
  <c r="F732" i="1"/>
  <c r="F166" i="1"/>
  <c r="F301" i="1"/>
  <c r="F266" i="1"/>
  <c r="F807" i="1"/>
  <c r="F211" i="1"/>
  <c r="F500" i="1"/>
  <c r="F354" i="1"/>
  <c r="F219" i="1"/>
  <c r="F182" i="1"/>
  <c r="F265" i="1"/>
  <c r="F453" i="1"/>
  <c r="F218" i="1"/>
  <c r="F264" i="1"/>
  <c r="F165" i="1"/>
  <c r="F164" i="1"/>
  <c r="F474" i="1"/>
  <c r="F473" i="1"/>
  <c r="F360" i="1"/>
  <c r="F709" i="1"/>
  <c r="F224" i="1"/>
  <c r="F627" i="1"/>
  <c r="F333" i="1"/>
  <c r="F375" i="1"/>
  <c r="F203" i="1"/>
  <c r="F411" i="1"/>
  <c r="F693" i="1"/>
  <c r="F202" i="1"/>
  <c r="F223" i="1"/>
  <c r="F147" i="1"/>
  <c r="F748" i="1"/>
  <c r="F802" i="1"/>
  <c r="F87" i="1"/>
  <c r="F332" i="1"/>
  <c r="F781" i="1"/>
  <c r="F263" i="1"/>
  <c r="F210" i="1"/>
  <c r="F569" i="1"/>
  <c r="F92" i="1"/>
  <c r="F374" i="1"/>
  <c r="F452" i="1"/>
  <c r="F618" i="1"/>
  <c r="F160" i="1"/>
  <c r="F556" i="1"/>
  <c r="F373" i="1"/>
  <c r="F934" i="1"/>
  <c r="F272" i="1"/>
  <c r="F419" i="1"/>
  <c r="F239" i="1"/>
  <c r="F123" i="1"/>
  <c r="F18" i="1"/>
  <c r="F576" i="1"/>
  <c r="F288" i="1"/>
  <c r="F468" i="1"/>
  <c r="F593" i="1"/>
  <c r="F159" i="1"/>
  <c r="F485" i="1"/>
  <c r="F137" i="1"/>
  <c r="F745" i="1"/>
  <c r="F262" i="1"/>
  <c r="F136" i="1"/>
  <c r="F534" i="1"/>
  <c r="F767" i="1"/>
  <c r="F391" i="1"/>
  <c r="F913" i="1"/>
  <c r="F459" i="1"/>
  <c r="F798" i="1"/>
  <c r="F728" i="1"/>
  <c r="F73" i="1"/>
  <c r="F261" i="1"/>
  <c r="F410" i="1"/>
  <c r="F384" i="1"/>
  <c r="F909" i="1"/>
  <c r="F822" i="1"/>
  <c r="F353" i="1"/>
  <c r="F32" i="1"/>
  <c r="F325" i="1"/>
  <c r="F287" i="1"/>
  <c r="F52" i="1"/>
  <c r="F759" i="1"/>
  <c r="F800" i="1"/>
  <c r="F409" i="1"/>
  <c r="F260" i="1"/>
  <c r="F217" i="1"/>
  <c r="F883" i="1"/>
  <c r="F675" i="1"/>
  <c r="F674" i="1"/>
  <c r="F797" i="1"/>
  <c r="F372" i="1"/>
  <c r="F59" i="1"/>
  <c r="F259" i="1"/>
  <c r="F788" i="1"/>
  <c r="F146" i="1"/>
  <c r="F72" i="1"/>
  <c r="F592" i="1"/>
  <c r="F697" i="1"/>
  <c r="F192" i="1"/>
  <c r="F568" i="1"/>
  <c r="F173" i="1"/>
  <c r="F820" i="1"/>
  <c r="F359" i="1"/>
  <c r="F499" i="1"/>
  <c r="F889" i="1"/>
  <c r="F828" i="1"/>
  <c r="F708" i="1"/>
  <c r="F390" i="1"/>
  <c r="F661" i="1"/>
  <c r="F82" i="1"/>
  <c r="F567" i="1"/>
  <c r="F813" i="1"/>
  <c r="F65" i="1"/>
  <c r="F26" i="1"/>
  <c r="F862" i="1"/>
  <c r="F754" i="1"/>
  <c r="F692" i="1"/>
  <c r="F358" i="1"/>
  <c r="F543" i="1"/>
  <c r="F611" i="1"/>
  <c r="F163" i="1"/>
  <c r="F907" i="1"/>
  <c r="F513" i="1"/>
  <c r="F898" i="1"/>
  <c r="F916" i="1"/>
  <c r="F216" i="1"/>
  <c r="F13" i="1"/>
  <c r="F776" i="1"/>
  <c r="F893" i="1"/>
  <c r="F905" i="1"/>
  <c r="F575" i="1"/>
  <c r="F249" i="1"/>
  <c r="F780" i="1"/>
  <c r="F484" i="1"/>
  <c r="F911" i="1"/>
  <c r="F707" i="1"/>
  <c r="F86" i="1"/>
  <c r="F766" i="1"/>
  <c r="F248" i="1"/>
  <c r="F868" i="1"/>
  <c r="F114" i="1"/>
  <c r="F599" i="1"/>
  <c r="F819" i="1"/>
  <c r="F744" i="1"/>
  <c r="F158" i="1"/>
  <c r="F827" i="1"/>
  <c r="F667" i="1"/>
  <c r="F238" i="1"/>
  <c r="F483" i="1"/>
  <c r="F418" i="1"/>
  <c r="F836" i="1"/>
  <c r="F736" i="1"/>
  <c r="F660" i="1"/>
  <c r="F835" i="1"/>
  <c r="F191" i="1"/>
  <c r="F451" i="1"/>
  <c r="F923" i="1"/>
  <c r="F880" i="1"/>
  <c r="F472" i="1"/>
  <c r="F743" i="1"/>
  <c r="F524" i="1"/>
  <c r="F247" i="1"/>
  <c r="F875" i="1"/>
  <c r="F383" i="1"/>
  <c r="F357" i="1"/>
  <c r="F450" i="1"/>
  <c r="F300" i="1"/>
  <c r="F181" i="1"/>
  <c r="F774" i="1"/>
  <c r="F371" i="1"/>
  <c r="F172" i="1"/>
  <c r="F97" i="1"/>
  <c r="F643" i="1"/>
  <c r="F215" i="1"/>
  <c r="F659" i="1"/>
  <c r="F739" i="1"/>
  <c r="F356" i="1"/>
  <c r="F591" i="1"/>
  <c r="F201" i="1"/>
  <c r="F17" i="1"/>
  <c r="F924" i="1"/>
  <c r="F94" i="1"/>
  <c r="F742" i="1"/>
  <c r="F352" i="1"/>
  <c r="F787" i="1"/>
  <c r="F512" i="1"/>
  <c r="F286" i="1"/>
  <c r="F81" i="1"/>
  <c r="F10" i="1"/>
  <c r="F22" i="1"/>
  <c r="F590" i="1"/>
  <c r="F299" i="1"/>
  <c r="F171" i="1"/>
  <c r="F396" i="1"/>
  <c r="F533" i="1"/>
  <c r="F370" i="1"/>
  <c r="F369" i="1"/>
  <c r="F658" i="1"/>
  <c r="F324" i="1"/>
  <c r="F145" i="1"/>
  <c r="F434" i="1"/>
  <c r="F157" i="1"/>
  <c r="F280" i="1"/>
  <c r="F135" i="1"/>
  <c r="F368" i="1"/>
  <c r="F706" i="1"/>
  <c r="F642" i="1"/>
  <c r="F523" i="1"/>
  <c r="F342" i="1"/>
  <c r="F552" i="1"/>
  <c r="F932" i="1"/>
  <c r="F691" i="1"/>
  <c r="F779" i="1"/>
  <c r="F96" i="1"/>
  <c r="F532" i="1"/>
  <c r="F156" i="1"/>
  <c r="F80" i="1"/>
  <c r="F885" i="1"/>
  <c r="F574" i="1"/>
  <c r="F685" i="1"/>
  <c r="F482" i="1"/>
  <c r="F246" i="1"/>
  <c r="F230" i="1"/>
  <c r="F818" i="1"/>
  <c r="F498" i="1"/>
  <c r="F444" i="1"/>
  <c r="F897" i="1"/>
  <c r="F323" i="1"/>
  <c r="F589" i="1"/>
  <c r="F901" i="1"/>
  <c r="F869" i="1"/>
  <c r="F929" i="1"/>
  <c r="F180" i="1"/>
  <c r="F433" i="1"/>
  <c r="F511" i="1"/>
  <c r="F9" i="1"/>
  <c r="F113" i="1"/>
  <c r="F389" i="1"/>
  <c r="F179" i="1"/>
  <c r="F104" i="1"/>
  <c r="F684" i="1"/>
  <c r="F758" i="1"/>
  <c r="F690" i="1"/>
  <c r="F237" i="1"/>
  <c r="F458" i="1"/>
  <c r="F861" i="1"/>
  <c r="F551" i="1"/>
  <c r="F122" i="1"/>
  <c r="F91" i="1"/>
  <c r="F522" i="1"/>
  <c r="F673" i="1"/>
  <c r="F927" i="1"/>
  <c r="F134" i="1"/>
  <c r="F322" i="1"/>
  <c r="F716" i="1"/>
  <c r="F933" i="1"/>
  <c r="F735" i="1"/>
  <c r="F832" i="1"/>
  <c r="F683" i="1"/>
  <c r="F610" i="1"/>
  <c r="F109" i="1"/>
  <c r="F285" i="1"/>
  <c r="F341" i="1"/>
  <c r="F652" i="1"/>
  <c r="F786" i="1"/>
  <c r="F408" i="1"/>
  <c r="F129" i="1"/>
  <c r="F573" i="1"/>
  <c r="F209" i="1"/>
  <c r="F588" i="1"/>
  <c r="F417" i="1"/>
  <c r="F321" i="1"/>
  <c r="F388" i="1"/>
  <c r="F521" i="1"/>
  <c r="F633" i="1"/>
  <c r="F727" i="1"/>
  <c r="F85" i="1"/>
  <c r="F497" i="1"/>
  <c r="F258" i="1"/>
  <c r="F922" i="1"/>
  <c r="F320" i="1"/>
  <c r="F572" i="1"/>
  <c r="F312" i="1"/>
  <c r="F651" i="1"/>
  <c r="F531" i="1"/>
  <c r="F311" i="1"/>
  <c r="F407" i="1"/>
  <c r="F310" i="1"/>
  <c r="F50" i="1"/>
  <c r="F904" i="1"/>
  <c r="F298" i="1"/>
  <c r="F155" i="1"/>
  <c r="F245" i="1"/>
  <c r="F297" i="1"/>
  <c r="F871" i="1"/>
  <c r="F170" i="1"/>
  <c r="F926" i="1"/>
  <c r="F121" i="1"/>
  <c r="F271" i="1"/>
  <c r="F510" i="1"/>
  <c r="F888" i="1"/>
  <c r="F626" i="1"/>
  <c r="F4" i="1"/>
  <c r="F169" i="1"/>
  <c r="F467" i="1"/>
  <c r="F178" i="1"/>
  <c r="F382" i="1"/>
  <c r="F914" i="1"/>
  <c r="F279" i="1"/>
  <c r="F36" i="1"/>
  <c r="F351" i="1"/>
  <c r="F792" i="1"/>
  <c r="F582" i="1"/>
  <c r="F721" i="1"/>
  <c r="F190" i="1"/>
  <c r="F319" i="1"/>
  <c r="F406" i="1"/>
  <c r="F530" i="1"/>
  <c r="F257" i="1"/>
  <c r="F769" i="1"/>
  <c r="F726" i="1"/>
  <c r="F256" i="1"/>
  <c r="F595" i="1"/>
  <c r="F355" i="1"/>
  <c r="F108" i="1"/>
  <c r="F641" i="1"/>
  <c r="F720" i="1"/>
  <c r="F930" i="1"/>
  <c r="F481" i="1"/>
  <c r="F278" i="1"/>
  <c r="F912" i="1"/>
  <c r="F625" i="1"/>
  <c r="F657" i="1"/>
  <c r="F581" i="1"/>
  <c r="F222" i="1"/>
  <c r="F405" i="1"/>
  <c r="F812" i="1"/>
  <c r="F154" i="1"/>
  <c r="F367" i="1"/>
  <c r="F449" i="1"/>
  <c r="F255" i="1"/>
  <c r="F859" i="1"/>
  <c r="F309" i="1"/>
  <c r="F640" i="1"/>
  <c r="F254" i="1"/>
  <c r="F878" i="1"/>
  <c r="F3" i="1"/>
  <c r="F208" i="1"/>
  <c r="F131" i="1"/>
  <c r="F587" i="1"/>
  <c r="F937" i="1"/>
  <c r="F689" i="1"/>
  <c r="F350" i="1"/>
  <c r="F586" i="1"/>
  <c r="F842" i="1"/>
  <c r="F200" i="1"/>
  <c r="F867" i="1"/>
  <c r="F580" i="1"/>
  <c r="F112" i="1"/>
  <c r="F71" i="1"/>
  <c r="F144" i="1"/>
  <c r="F404" i="1"/>
  <c r="F560" i="1"/>
  <c r="F49" i="1"/>
  <c r="F35" i="1"/>
  <c r="F25" i="1"/>
  <c r="F785" i="1"/>
  <c r="F520" i="1"/>
  <c r="F734" i="1"/>
  <c r="F761" i="1"/>
  <c r="F448" i="1"/>
  <c r="F872" i="1"/>
  <c r="F366" i="1"/>
  <c r="F432" i="1"/>
  <c r="F340" i="1"/>
  <c r="F416" i="1"/>
  <c r="F90" i="1"/>
  <c r="F253" i="1"/>
  <c r="F308" i="1"/>
  <c r="F585" i="1"/>
  <c r="F550" i="1"/>
  <c r="F666" i="1"/>
  <c r="F89" i="1"/>
  <c r="F584" i="1"/>
  <c r="F111" i="1"/>
  <c r="F381" i="1"/>
  <c r="F331" i="1"/>
  <c r="F542" i="1"/>
  <c r="F650" i="1"/>
  <c r="F403" i="1"/>
  <c r="F21" i="1"/>
  <c r="F402" i="1"/>
  <c r="F921" i="1"/>
  <c r="F566" i="1"/>
  <c r="F349" i="1"/>
  <c r="F639" i="1"/>
  <c r="F509" i="1"/>
  <c r="F330" i="1"/>
  <c r="F866" i="1"/>
  <c r="F496" i="1"/>
  <c r="F401" i="1"/>
  <c r="F918" i="1"/>
  <c r="F682" i="1"/>
  <c r="F508" i="1"/>
  <c r="F834" i="1"/>
  <c r="F672" i="1"/>
  <c r="F318" i="1"/>
  <c r="F738" i="1"/>
  <c r="F795" i="1"/>
  <c r="F681" i="1"/>
  <c r="F725" i="1"/>
  <c r="F715" i="1"/>
  <c r="F598" i="1"/>
  <c r="F199" i="1"/>
  <c r="F519" i="1"/>
  <c r="F348" i="1"/>
  <c r="F15" i="1"/>
  <c r="F41" i="1"/>
  <c r="F879" i="1"/>
  <c r="F34" i="1"/>
  <c r="F130" i="1"/>
  <c r="F277" i="1"/>
  <c r="F28" i="1"/>
  <c r="F88" i="1"/>
  <c r="F705" i="1"/>
  <c r="F38" i="1"/>
  <c r="F133" i="1"/>
  <c r="F168" i="1"/>
  <c r="F696" i="1"/>
  <c r="F858" i="1"/>
  <c r="F688" i="1"/>
  <c r="F447" i="1"/>
  <c r="F507" i="1"/>
  <c r="F58" i="1"/>
  <c r="F890" i="1"/>
  <c r="F221" i="1"/>
  <c r="F733" i="1"/>
  <c r="F617" i="1"/>
  <c r="F189" i="1"/>
  <c r="F680" i="1"/>
  <c r="F12" i="1"/>
  <c r="F466" i="1"/>
  <c r="F555" i="1"/>
  <c r="F609" i="1"/>
  <c r="F40" i="1"/>
  <c r="F207" i="1"/>
  <c r="F143" i="1"/>
  <c r="F506" i="1"/>
  <c r="F317" i="1"/>
  <c r="F638" i="1"/>
  <c r="F854" i="1"/>
  <c r="F103" i="1"/>
  <c r="F791" i="1"/>
  <c r="F198" i="1"/>
  <c r="F853" i="1"/>
  <c r="F443" i="1"/>
  <c r="F632" i="1"/>
  <c r="F495" i="1"/>
  <c r="F887" i="1"/>
  <c r="F99" i="1"/>
  <c r="F110" i="1"/>
  <c r="F935" i="1"/>
  <c r="F188" i="1"/>
  <c r="F665" i="1"/>
  <c r="F400" i="1"/>
  <c r="F702" i="1"/>
  <c r="F120" i="1"/>
  <c r="F565" i="1"/>
  <c r="F809" i="1"/>
  <c r="F132" i="1"/>
  <c r="F701" i="1"/>
  <c r="F102" i="1"/>
  <c r="F399" i="1"/>
  <c r="F431" i="1"/>
  <c r="F679" i="1"/>
  <c r="F649" i="1"/>
  <c r="F430" i="1"/>
  <c r="F270" i="1"/>
  <c r="F757" i="1"/>
  <c r="F37" i="1"/>
  <c r="F671" i="1"/>
  <c r="F446" i="1"/>
  <c r="F518" i="1"/>
  <c r="F244" i="1"/>
  <c r="F316" i="1"/>
  <c r="F395" i="1"/>
  <c r="F339" i="1"/>
  <c r="F870" i="1"/>
  <c r="F670" i="1"/>
  <c r="F747" i="1"/>
  <c r="F529" i="1"/>
  <c r="F365" i="1"/>
  <c r="F817" i="1"/>
  <c r="F772" i="1"/>
  <c r="F197" i="1"/>
  <c r="F811" i="1"/>
  <c r="F760" i="1"/>
  <c r="F236" i="1"/>
  <c r="F892" i="1"/>
  <c r="F187" i="1"/>
  <c r="F398" i="1"/>
  <c r="F851" i="1"/>
  <c r="F380" i="1"/>
  <c r="F379" i="1"/>
  <c r="F119" i="1"/>
  <c r="F296" i="1"/>
  <c r="F153" i="1"/>
  <c r="F571" i="1"/>
  <c r="F656" i="1"/>
  <c r="F784" i="1"/>
  <c r="F505" i="1"/>
  <c r="F815" i="1"/>
  <c r="F494" i="1"/>
  <c r="F229" i="1"/>
  <c r="F228" i="1"/>
  <c r="F465" i="1"/>
  <c r="F775" i="1"/>
  <c r="F415" i="1"/>
  <c r="F493" i="1"/>
  <c r="F11" i="1"/>
  <c r="F107" i="1"/>
  <c r="F753" i="1"/>
  <c r="F177" i="1"/>
  <c r="F176" i="1"/>
  <c r="F329" i="1"/>
  <c r="F243" i="1"/>
  <c r="F700" i="1"/>
  <c r="F605" i="1"/>
  <c r="F756" i="1"/>
  <c r="F142" i="1"/>
  <c r="F79" i="1"/>
  <c r="F429" i="1"/>
  <c r="F884" i="1"/>
  <c r="F480" i="1"/>
  <c r="F14" i="1"/>
  <c r="F471" i="1"/>
  <c r="F16" i="1"/>
  <c r="F206" i="1"/>
  <c r="F604" i="1"/>
  <c r="F27" i="1"/>
  <c r="F175" i="1"/>
  <c r="F783" i="1"/>
  <c r="F152" i="1"/>
  <c r="F810" i="1"/>
  <c r="F61" i="1"/>
  <c r="F741" i="1"/>
  <c r="F84" i="1"/>
  <c r="F831" i="1"/>
  <c r="F242" i="1"/>
  <c r="F724" i="1"/>
  <c r="F241" i="1"/>
  <c r="F387" i="1"/>
  <c r="F669" i="1"/>
  <c r="F794" i="1"/>
  <c r="F850" i="1"/>
  <c r="F141" i="1"/>
  <c r="F328" i="1"/>
  <c r="F95" i="1"/>
  <c r="F196" i="1"/>
  <c r="F55" i="1"/>
  <c r="F364" i="1"/>
  <c r="F830" i="1"/>
  <c r="F597" i="1"/>
  <c r="F877" i="1"/>
  <c r="F648" i="1"/>
  <c r="F699" i="1"/>
  <c r="F874" i="1"/>
  <c r="F771" i="1"/>
  <c r="F39" i="1"/>
  <c r="F846" i="1"/>
  <c r="F570" i="1"/>
  <c r="F541" i="1"/>
  <c r="F540" i="1"/>
  <c r="F616" i="1"/>
  <c r="F891" i="1"/>
  <c r="F876" i="1"/>
  <c r="F394" i="1"/>
  <c r="F517" i="1"/>
  <c r="F752" i="1"/>
  <c r="F220" i="1"/>
  <c r="F227" i="1"/>
  <c r="F347" i="1"/>
  <c r="F48" i="1"/>
  <c r="F492" i="1"/>
  <c r="F840" i="1"/>
  <c r="F564" i="1"/>
  <c r="F740" i="1"/>
  <c r="F235" i="1"/>
  <c r="F479" i="1"/>
  <c r="F849" i="1"/>
  <c r="F637" i="1"/>
  <c r="F276" i="1"/>
  <c r="F457" i="1"/>
  <c r="F915" i="1"/>
  <c r="F284" i="1"/>
  <c r="F24" i="1"/>
  <c r="F603" i="1"/>
  <c r="F719" i="1"/>
  <c r="F806" i="1"/>
  <c r="F826" i="1"/>
  <c r="F917" i="1"/>
  <c r="F664" i="1"/>
  <c r="F579" i="1"/>
  <c r="F195" i="1"/>
  <c r="F252" i="1"/>
  <c r="F442" i="1"/>
  <c r="F602" i="1"/>
  <c r="F295" i="1"/>
  <c r="F936" i="1"/>
  <c r="F539" i="1"/>
  <c r="F678" i="1"/>
  <c r="F730" i="1"/>
  <c r="F516" i="1"/>
  <c r="F714" i="1"/>
  <c r="G805" i="1"/>
  <c r="G393" i="1"/>
  <c r="G234" i="1"/>
  <c r="G857" i="1"/>
  <c r="G464" i="1"/>
  <c r="G563" i="1"/>
  <c r="G275" i="1"/>
  <c r="G713" i="1"/>
  <c r="G186" i="1"/>
  <c r="G778" i="1"/>
  <c r="G294" i="1"/>
  <c r="G274" i="1"/>
  <c r="G441" i="1"/>
  <c r="G829" i="1"/>
  <c r="G338" i="1"/>
  <c r="G624" i="1"/>
  <c r="G68" i="1"/>
  <c r="G337" i="1"/>
  <c r="G712" i="1"/>
  <c r="G549" i="1"/>
  <c r="G456" i="1"/>
  <c r="G646" i="1"/>
  <c r="G608" i="1"/>
  <c r="G307" i="1"/>
  <c r="G711" i="1"/>
  <c r="G226" i="1"/>
  <c r="G269" i="1"/>
  <c r="G31" i="1"/>
  <c r="G538" i="1"/>
  <c r="G327" i="1"/>
  <c r="G64" i="1"/>
  <c r="G306" i="1"/>
  <c r="G928" i="1"/>
  <c r="G70" i="1"/>
  <c r="G69" i="1"/>
  <c r="G920" i="1"/>
  <c r="G528" i="1"/>
  <c r="G45" i="1"/>
  <c r="G386" i="1"/>
  <c r="G414" i="1"/>
  <c r="G677" i="1"/>
  <c r="G623" i="1"/>
  <c r="G737" i="1"/>
  <c r="G578" i="1"/>
  <c r="G293" i="1"/>
  <c r="G790" i="1"/>
  <c r="G808" i="1"/>
  <c r="G718" i="1"/>
  <c r="G645" i="1"/>
  <c r="G833" i="1"/>
  <c r="G615" i="1"/>
  <c r="G283" i="1"/>
  <c r="G527" i="1"/>
  <c r="G765" i="1"/>
  <c r="G63" i="1"/>
  <c r="G315" i="1"/>
  <c r="G314" i="1"/>
  <c r="G548" i="1"/>
  <c r="G814" i="1"/>
  <c r="G799" i="1"/>
  <c r="G363" i="1"/>
  <c r="G601" i="1"/>
  <c r="G583" i="1"/>
  <c r="G755" i="1"/>
  <c r="G445" i="1"/>
  <c r="G292" i="1"/>
  <c r="G346" i="1"/>
  <c r="G636" i="1"/>
  <c r="G428" i="1"/>
  <c r="G345" i="1"/>
  <c r="G30" i="1"/>
  <c r="G20" i="1"/>
  <c r="G291" i="1"/>
  <c r="G504" i="1"/>
  <c r="G902" i="1"/>
  <c r="G491" i="1"/>
  <c r="G151" i="1"/>
  <c r="G622" i="1"/>
  <c r="G167" i="1"/>
  <c r="G282" i="1"/>
  <c r="G515" i="1"/>
  <c r="G490" i="1"/>
  <c r="G514" i="1"/>
  <c r="G378" i="1"/>
  <c r="G362" i="1"/>
  <c r="G698" i="1"/>
  <c r="G290" i="1"/>
  <c r="G478" i="1"/>
  <c r="G644" i="1"/>
  <c r="G6" i="1"/>
  <c r="G205" i="1"/>
  <c r="G214" i="1"/>
  <c r="G29" i="1"/>
  <c r="G336" i="1"/>
  <c r="G537" i="1"/>
  <c r="G847" i="1"/>
  <c r="G908" i="1"/>
  <c r="G655" i="1"/>
  <c r="G305" i="1"/>
  <c r="G796" i="1"/>
  <c r="G899" i="1"/>
  <c r="G313" i="1"/>
  <c r="G427" i="1"/>
  <c r="G547" i="1"/>
  <c r="G128" i="1"/>
  <c r="G118" i="1"/>
  <c r="G233" i="1"/>
  <c r="G546" i="1"/>
  <c r="G635" i="1"/>
  <c r="G634" i="1"/>
  <c r="G67" i="1"/>
  <c r="G607" i="1"/>
  <c r="G751" i="1"/>
  <c r="G66" i="1"/>
  <c r="G117" i="1"/>
  <c r="G526" i="1"/>
  <c r="G477" i="1"/>
  <c r="G470" i="1"/>
  <c r="G127" i="1"/>
  <c r="G101" i="1"/>
  <c r="G687" i="1"/>
  <c r="G704" i="1"/>
  <c r="G476" i="1"/>
  <c r="G860" i="1"/>
  <c r="G839" i="1"/>
  <c r="G281" i="1"/>
  <c r="G268" i="1"/>
  <c r="G194" i="1"/>
  <c r="G377" i="1"/>
  <c r="G426" i="1"/>
  <c r="G631" i="1"/>
  <c r="G47" i="1"/>
  <c r="G630" i="1"/>
  <c r="G750" i="1"/>
  <c r="G686" i="1"/>
  <c r="G455" i="1"/>
  <c r="G98" i="1"/>
  <c r="G185" i="1"/>
  <c r="G856" i="1"/>
  <c r="G821" i="1"/>
  <c r="G2" i="1"/>
  <c r="G925" i="1"/>
  <c r="G562" i="1"/>
  <c r="G503" i="1"/>
  <c r="G749" i="1"/>
  <c r="G44" i="1"/>
  <c r="G558" i="1"/>
  <c r="G863" i="1"/>
  <c r="G57" i="1"/>
  <c r="G545" i="1"/>
  <c r="G232" i="1"/>
  <c r="G825" i="1"/>
  <c r="G162" i="1"/>
  <c r="G845" i="1"/>
  <c r="G886" i="1"/>
  <c r="G385" i="1"/>
  <c r="G425" i="1"/>
  <c r="G536" i="1"/>
  <c r="G397" i="1"/>
  <c r="G764" i="1"/>
  <c r="G413" i="1"/>
  <c r="G161" i="1"/>
  <c r="G116" i="1"/>
  <c r="G848" i="1"/>
  <c r="G777" i="1"/>
  <c r="G213" i="1"/>
  <c r="G43" i="1"/>
  <c r="G463" i="1"/>
  <c r="G289" i="1"/>
  <c r="G77" i="1"/>
  <c r="G629" i="1"/>
  <c r="G424" i="1"/>
  <c r="G544" i="1"/>
  <c r="G150" i="1"/>
  <c r="G184" i="1"/>
  <c r="G894" i="1"/>
  <c r="G703" i="1"/>
  <c r="G54" i="1"/>
  <c r="G502" i="1"/>
  <c r="G824" i="1"/>
  <c r="G903" i="1"/>
  <c r="G469" i="1"/>
  <c r="G600" i="1"/>
  <c r="G33" i="1"/>
  <c r="G19" i="1"/>
  <c r="G614" i="1"/>
  <c r="G93" i="1"/>
  <c r="G613" i="1"/>
  <c r="G782" i="1"/>
  <c r="G8" i="1"/>
  <c r="G823" i="1"/>
  <c r="G931" i="1"/>
  <c r="G906" i="1"/>
  <c r="G273" i="1"/>
  <c r="G183" i="1"/>
  <c r="G855" i="1"/>
  <c r="G126" i="1"/>
  <c r="G489" i="1"/>
  <c r="G896" i="1"/>
  <c r="G115" i="1"/>
  <c r="G23" i="1"/>
  <c r="G440" i="1"/>
  <c r="G251" i="1"/>
  <c r="G439" i="1"/>
  <c r="G710" i="1"/>
  <c r="G801" i="1"/>
  <c r="G335" i="1"/>
  <c r="G475" i="1"/>
  <c r="G462" i="1"/>
  <c r="G773" i="1"/>
  <c r="G56" i="1"/>
  <c r="G501" i="1"/>
  <c r="G174" i="1"/>
  <c r="G763" i="1"/>
  <c r="G596" i="1"/>
  <c r="G344" i="1"/>
  <c r="G438" i="1"/>
  <c r="G525" i="1"/>
  <c r="G149" i="1"/>
  <c r="G606" i="1"/>
  <c r="G83" i="1"/>
  <c r="G789" i="1"/>
  <c r="G60" i="1"/>
  <c r="G900" i="1"/>
  <c r="G535" i="1"/>
  <c r="G647" i="1"/>
  <c r="G663" i="1"/>
  <c r="G42" i="1"/>
  <c r="G695" i="1"/>
  <c r="G488" i="1"/>
  <c r="G910" i="1"/>
  <c r="G594" i="1"/>
  <c r="G557" i="1"/>
  <c r="G212" i="1"/>
  <c r="G412" i="1"/>
  <c r="G204" i="1"/>
  <c r="G46" i="1"/>
  <c r="G654" i="1"/>
  <c r="G621" i="1"/>
  <c r="G844" i="1"/>
  <c r="G612" i="1"/>
  <c r="G437" i="1"/>
  <c r="G304" i="1"/>
  <c r="G423" i="1"/>
  <c r="G148" i="1"/>
  <c r="G106" i="1"/>
  <c r="G717" i="1"/>
  <c r="G841" i="1"/>
  <c r="G422" i="1"/>
  <c r="G125" i="1"/>
  <c r="G303" i="1"/>
  <c r="G852" i="1"/>
  <c r="G461" i="1"/>
  <c r="G5" i="1"/>
  <c r="G76" i="1"/>
  <c r="G454" i="1"/>
  <c r="G881" i="1"/>
  <c r="G882" i="1"/>
  <c r="G62" i="1"/>
  <c r="G140" i="1"/>
  <c r="G838" i="1"/>
  <c r="G460" i="1"/>
  <c r="G376" i="1"/>
  <c r="G865" i="1"/>
  <c r="G793" i="1"/>
  <c r="G53" i="1"/>
  <c r="G873" i="1"/>
  <c r="G421" i="1"/>
  <c r="G124" i="1"/>
  <c r="G267" i="1"/>
  <c r="G100" i="1"/>
  <c r="G361" i="1"/>
  <c r="G843" i="1"/>
  <c r="G436" i="1"/>
  <c r="G225" i="1"/>
  <c r="G577" i="1"/>
  <c r="G334" i="1"/>
  <c r="G668" i="1"/>
  <c r="G768" i="1"/>
  <c r="G653" i="1"/>
  <c r="G816" i="1"/>
  <c r="G676" i="1"/>
  <c r="G554" i="1"/>
  <c r="G746" i="1"/>
  <c r="G620" i="1"/>
  <c r="G561" i="1"/>
  <c r="G420" i="1"/>
  <c r="G723" i="1"/>
  <c r="G487" i="1"/>
  <c r="G75" i="1"/>
  <c r="G628" i="1"/>
  <c r="G326" i="1"/>
  <c r="G240" i="1"/>
  <c r="G139" i="1"/>
  <c r="G74" i="1"/>
  <c r="G662" i="1"/>
  <c r="G486" i="1"/>
  <c r="G722" i="1"/>
  <c r="G138" i="1"/>
  <c r="G804" i="1"/>
  <c r="G7" i="1"/>
  <c r="G392" i="1"/>
  <c r="G435" i="1"/>
  <c r="G729" i="1"/>
  <c r="G803" i="1"/>
  <c r="G302" i="1"/>
  <c r="G343" i="1"/>
  <c r="G895" i="1"/>
  <c r="G231" i="1"/>
  <c r="G78" i="1"/>
  <c r="G919" i="1"/>
  <c r="G770" i="1"/>
  <c r="G250" i="1"/>
  <c r="G193" i="1"/>
  <c r="G105" i="1"/>
  <c r="G51" i="1"/>
  <c r="G619" i="1"/>
  <c r="G694" i="1"/>
  <c r="G732" i="1"/>
  <c r="G166" i="1"/>
  <c r="G301" i="1"/>
  <c r="G266" i="1"/>
  <c r="G807" i="1"/>
  <c r="G211" i="1"/>
  <c r="G500" i="1"/>
  <c r="G354" i="1"/>
  <c r="G219" i="1"/>
  <c r="G182" i="1"/>
  <c r="G265" i="1"/>
  <c r="G453" i="1"/>
  <c r="G218" i="1"/>
  <c r="G264" i="1"/>
  <c r="G165" i="1"/>
  <c r="G164" i="1"/>
  <c r="G474" i="1"/>
  <c r="G473" i="1"/>
  <c r="G360" i="1"/>
  <c r="G709" i="1"/>
  <c r="G224" i="1"/>
  <c r="G627" i="1"/>
  <c r="G333" i="1"/>
  <c r="G375" i="1"/>
  <c r="G203" i="1"/>
  <c r="G411" i="1"/>
  <c r="G693" i="1"/>
  <c r="G202" i="1"/>
  <c r="G223" i="1"/>
  <c r="G147" i="1"/>
  <c r="G748" i="1"/>
  <c r="G802" i="1"/>
  <c r="G87" i="1"/>
  <c r="G332" i="1"/>
  <c r="G781" i="1"/>
  <c r="G263" i="1"/>
  <c r="G210" i="1"/>
  <c r="G569" i="1"/>
  <c r="G92" i="1"/>
  <c r="G374" i="1"/>
  <c r="G452" i="1"/>
  <c r="G618" i="1"/>
  <c r="G160" i="1"/>
  <c r="G556" i="1"/>
  <c r="G373" i="1"/>
  <c r="G934" i="1"/>
  <c r="G272" i="1"/>
  <c r="G419" i="1"/>
  <c r="G239" i="1"/>
  <c r="G123" i="1"/>
  <c r="G18" i="1"/>
  <c r="G576" i="1"/>
  <c r="G288" i="1"/>
  <c r="G468" i="1"/>
  <c r="G593" i="1"/>
  <c r="G159" i="1"/>
  <c r="G485" i="1"/>
  <c r="G137" i="1"/>
  <c r="G745" i="1"/>
  <c r="G262" i="1"/>
  <c r="G136" i="1"/>
  <c r="G534" i="1"/>
  <c r="G767" i="1"/>
  <c r="G391" i="1"/>
  <c r="G913" i="1"/>
  <c r="G459" i="1"/>
  <c r="G798" i="1"/>
  <c r="G728" i="1"/>
  <c r="G73" i="1"/>
  <c r="G261" i="1"/>
  <c r="G410" i="1"/>
  <c r="G384" i="1"/>
  <c r="G909" i="1"/>
  <c r="G822" i="1"/>
  <c r="G353" i="1"/>
  <c r="G32" i="1"/>
  <c r="G325" i="1"/>
  <c r="G287" i="1"/>
  <c r="G52" i="1"/>
  <c r="G759" i="1"/>
  <c r="G800" i="1"/>
  <c r="G409" i="1"/>
  <c r="G260" i="1"/>
  <c r="G217" i="1"/>
  <c r="G883" i="1"/>
  <c r="G675" i="1"/>
  <c r="G553" i="1"/>
  <c r="G674" i="1"/>
  <c r="G797" i="1"/>
  <c r="G864" i="1"/>
  <c r="G372" i="1"/>
  <c r="G59" i="1"/>
  <c r="G259" i="1"/>
  <c r="G788" i="1"/>
  <c r="G146" i="1"/>
  <c r="G72" i="1"/>
  <c r="G592" i="1"/>
  <c r="G697" i="1"/>
  <c r="G192" i="1"/>
  <c r="G568" i="1"/>
  <c r="G173" i="1"/>
  <c r="G820" i="1"/>
  <c r="G837" i="1"/>
  <c r="G359" i="1"/>
  <c r="G499" i="1"/>
  <c r="G889" i="1"/>
  <c r="G828" i="1"/>
  <c r="G708" i="1"/>
  <c r="G390" i="1"/>
  <c r="G661" i="1"/>
  <c r="G82" i="1"/>
  <c r="G567" i="1"/>
  <c r="G813" i="1"/>
  <c r="G65" i="1"/>
  <c r="G26" i="1"/>
  <c r="G862" i="1"/>
  <c r="G754" i="1"/>
  <c r="G692" i="1"/>
  <c r="G358" i="1"/>
  <c r="G543" i="1"/>
  <c r="G611" i="1"/>
  <c r="G163" i="1"/>
  <c r="G907" i="1"/>
  <c r="G513" i="1"/>
  <c r="G898" i="1"/>
  <c r="G916" i="1"/>
  <c r="G216" i="1"/>
  <c r="G13" i="1"/>
  <c r="G776" i="1"/>
  <c r="G893" i="1"/>
  <c r="G905" i="1"/>
  <c r="G575" i="1"/>
  <c r="G249" i="1"/>
  <c r="G780" i="1"/>
  <c r="G484" i="1"/>
  <c r="G911" i="1"/>
  <c r="G707" i="1"/>
  <c r="G86" i="1"/>
  <c r="G766" i="1"/>
  <c r="G248" i="1"/>
  <c r="G868" i="1"/>
  <c r="G114" i="1"/>
  <c r="G599" i="1"/>
  <c r="G819" i="1"/>
  <c r="G744" i="1"/>
  <c r="G158" i="1"/>
  <c r="G827" i="1"/>
  <c r="G667" i="1"/>
  <c r="G238" i="1"/>
  <c r="G483" i="1"/>
  <c r="G418" i="1"/>
  <c r="G836" i="1"/>
  <c r="G736" i="1"/>
  <c r="G660" i="1"/>
  <c r="G835" i="1"/>
  <c r="G191" i="1"/>
  <c r="G451" i="1"/>
  <c r="G923" i="1"/>
  <c r="G880" i="1"/>
  <c r="G472" i="1"/>
  <c r="G743" i="1"/>
  <c r="G524" i="1"/>
  <c r="G247" i="1"/>
  <c r="G875" i="1"/>
  <c r="G383" i="1"/>
  <c r="G357" i="1"/>
  <c r="G450" i="1"/>
  <c r="G300" i="1"/>
  <c r="G181" i="1"/>
  <c r="G774" i="1"/>
  <c r="G371" i="1"/>
  <c r="G172" i="1"/>
  <c r="G97" i="1"/>
  <c r="G643" i="1"/>
  <c r="G215" i="1"/>
  <c r="G659" i="1"/>
  <c r="G739" i="1"/>
  <c r="G356" i="1"/>
  <c r="G591" i="1"/>
  <c r="G201" i="1"/>
  <c r="G17" i="1"/>
  <c r="G924" i="1"/>
  <c r="G94" i="1"/>
  <c r="G742" i="1"/>
  <c r="G352" i="1"/>
  <c r="G787" i="1"/>
  <c r="G512" i="1"/>
  <c r="G286" i="1"/>
  <c r="G81" i="1"/>
  <c r="G10" i="1"/>
  <c r="G22" i="1"/>
  <c r="G590" i="1"/>
  <c r="G299" i="1"/>
  <c r="G171" i="1"/>
  <c r="G396" i="1"/>
  <c r="G533" i="1"/>
  <c r="G370" i="1"/>
  <c r="G369" i="1"/>
  <c r="G658" i="1"/>
  <c r="G324" i="1"/>
  <c r="G145" i="1"/>
  <c r="G434" i="1"/>
  <c r="G157" i="1"/>
  <c r="G280" i="1"/>
  <c r="G135" i="1"/>
  <c r="G368" i="1"/>
  <c r="G706" i="1"/>
  <c r="G642" i="1"/>
  <c r="G523" i="1"/>
  <c r="G342" i="1"/>
  <c r="G552" i="1"/>
  <c r="G932" i="1"/>
  <c r="G691" i="1"/>
  <c r="G779" i="1"/>
  <c r="G96" i="1"/>
  <c r="G532" i="1"/>
  <c r="G156" i="1"/>
  <c r="G80" i="1"/>
  <c r="G885" i="1"/>
  <c r="G574" i="1"/>
  <c r="G685" i="1"/>
  <c r="G482" i="1"/>
  <c r="G246" i="1"/>
  <c r="G230" i="1"/>
  <c r="G818" i="1"/>
  <c r="G498" i="1"/>
  <c r="G444" i="1"/>
  <c r="G897" i="1"/>
  <c r="G323" i="1"/>
  <c r="G589" i="1"/>
  <c r="G901" i="1"/>
  <c r="G869" i="1"/>
  <c r="G929" i="1"/>
  <c r="G180" i="1"/>
  <c r="G433" i="1"/>
  <c r="G511" i="1"/>
  <c r="G9" i="1"/>
  <c r="G113" i="1"/>
  <c r="G389" i="1"/>
  <c r="G179" i="1"/>
  <c r="G104" i="1"/>
  <c r="G684" i="1"/>
  <c r="G758" i="1"/>
  <c r="G690" i="1"/>
  <c r="G237" i="1"/>
  <c r="G458" i="1"/>
  <c r="G861" i="1"/>
  <c r="G551" i="1"/>
  <c r="G122" i="1"/>
  <c r="G91" i="1"/>
  <c r="G522" i="1"/>
  <c r="G673" i="1"/>
  <c r="G927" i="1"/>
  <c r="G134" i="1"/>
  <c r="G322" i="1"/>
  <c r="G716" i="1"/>
  <c r="G933" i="1"/>
  <c r="G735" i="1"/>
  <c r="G832" i="1"/>
  <c r="G683" i="1"/>
  <c r="G610" i="1"/>
  <c r="G109" i="1"/>
  <c r="G285" i="1"/>
  <c r="G341" i="1"/>
  <c r="G652" i="1"/>
  <c r="G786" i="1"/>
  <c r="G408" i="1"/>
  <c r="G129" i="1"/>
  <c r="G573" i="1"/>
  <c r="G209" i="1"/>
  <c r="G588" i="1"/>
  <c r="G417" i="1"/>
  <c r="G321" i="1"/>
  <c r="G388" i="1"/>
  <c r="G521" i="1"/>
  <c r="G633" i="1"/>
  <c r="G727" i="1"/>
  <c r="G85" i="1"/>
  <c r="G762" i="1"/>
  <c r="G497" i="1"/>
  <c r="G258" i="1"/>
  <c r="G922" i="1"/>
  <c r="G320" i="1"/>
  <c r="G572" i="1"/>
  <c r="G312" i="1"/>
  <c r="G651" i="1"/>
  <c r="G531" i="1"/>
  <c r="G311" i="1"/>
  <c r="G407" i="1"/>
  <c r="G310" i="1"/>
  <c r="G50" i="1"/>
  <c r="G904" i="1"/>
  <c r="G298" i="1"/>
  <c r="G155" i="1"/>
  <c r="G245" i="1"/>
  <c r="G297" i="1"/>
  <c r="G871" i="1"/>
  <c r="G170" i="1"/>
  <c r="G926" i="1"/>
  <c r="G121" i="1"/>
  <c r="G271" i="1"/>
  <c r="G510" i="1"/>
  <c r="G888" i="1"/>
  <c r="G626" i="1"/>
  <c r="G4" i="1"/>
  <c r="G169" i="1"/>
  <c r="G467" i="1"/>
  <c r="G178" i="1"/>
  <c r="G382" i="1"/>
  <c r="G914" i="1"/>
  <c r="G279" i="1"/>
  <c r="G36" i="1"/>
  <c r="G351" i="1"/>
  <c r="G792" i="1"/>
  <c r="G582" i="1"/>
  <c r="G721" i="1"/>
  <c r="G190" i="1"/>
  <c r="G319" i="1"/>
  <c r="G406" i="1"/>
  <c r="G530" i="1"/>
  <c r="G257" i="1"/>
  <c r="G769" i="1"/>
  <c r="G726" i="1"/>
  <c r="G256" i="1"/>
  <c r="G595" i="1"/>
  <c r="G355" i="1"/>
  <c r="G108" i="1"/>
  <c r="G641" i="1"/>
  <c r="G720" i="1"/>
  <c r="G930" i="1"/>
  <c r="G481" i="1"/>
  <c r="G278" i="1"/>
  <c r="G912" i="1"/>
  <c r="G625" i="1"/>
  <c r="G657" i="1"/>
  <c r="G581" i="1"/>
  <c r="G222" i="1"/>
  <c r="G405" i="1"/>
  <c r="G812" i="1"/>
  <c r="G154" i="1"/>
  <c r="G367" i="1"/>
  <c r="G449" i="1"/>
  <c r="G255" i="1"/>
  <c r="G859" i="1"/>
  <c r="G309" i="1"/>
  <c r="G640" i="1"/>
  <c r="G254" i="1"/>
  <c r="G878" i="1"/>
  <c r="G3" i="1"/>
  <c r="G208" i="1"/>
  <c r="G131" i="1"/>
  <c r="G587" i="1"/>
  <c r="G937" i="1"/>
  <c r="G689" i="1"/>
  <c r="G350" i="1"/>
  <c r="G586" i="1"/>
  <c r="G842" i="1"/>
  <c r="G200" i="1"/>
  <c r="G867" i="1"/>
  <c r="G580" i="1"/>
  <c r="G112" i="1"/>
  <c r="G71" i="1"/>
  <c r="G144" i="1"/>
  <c r="G404" i="1"/>
  <c r="G560" i="1"/>
  <c r="G49" i="1"/>
  <c r="G35" i="1"/>
  <c r="G25" i="1"/>
  <c r="G785" i="1"/>
  <c r="G520" i="1"/>
  <c r="G734" i="1"/>
  <c r="G761" i="1"/>
  <c r="G448" i="1"/>
  <c r="G872" i="1"/>
  <c r="G366" i="1"/>
  <c r="G432" i="1"/>
  <c r="G340" i="1"/>
  <c r="G416" i="1"/>
  <c r="G90" i="1"/>
  <c r="G253" i="1"/>
  <c r="G308" i="1"/>
  <c r="G585" i="1"/>
  <c r="G550" i="1"/>
  <c r="G666" i="1"/>
  <c r="G89" i="1"/>
  <c r="G584" i="1"/>
  <c r="G111" i="1"/>
  <c r="G381" i="1"/>
  <c r="G331" i="1"/>
  <c r="G542" i="1"/>
  <c r="G650" i="1"/>
  <c r="G403" i="1"/>
  <c r="G21" i="1"/>
  <c r="G402" i="1"/>
  <c r="G921" i="1"/>
  <c r="G566" i="1"/>
  <c r="G349" i="1"/>
  <c r="G639" i="1"/>
  <c r="G509" i="1"/>
  <c r="G330" i="1"/>
  <c r="G866" i="1"/>
  <c r="G496" i="1"/>
  <c r="G401" i="1"/>
  <c r="G918" i="1"/>
  <c r="G682" i="1"/>
  <c r="G508" i="1"/>
  <c r="G731" i="1"/>
  <c r="G834" i="1"/>
  <c r="G672" i="1"/>
  <c r="G318" i="1"/>
  <c r="G738" i="1"/>
  <c r="G795" i="1"/>
  <c r="G681" i="1"/>
  <c r="G725" i="1"/>
  <c r="G715" i="1"/>
  <c r="G598" i="1"/>
  <c r="G199" i="1"/>
  <c r="G519" i="1"/>
  <c r="G348" i="1"/>
  <c r="G15" i="1"/>
  <c r="G41" i="1"/>
  <c r="G879" i="1"/>
  <c r="G34" i="1"/>
  <c r="G130" i="1"/>
  <c r="G277" i="1"/>
  <c r="G28" i="1"/>
  <c r="G88" i="1"/>
  <c r="G705" i="1"/>
  <c r="G38" i="1"/>
  <c r="G133" i="1"/>
  <c r="G168" i="1"/>
  <c r="G696" i="1"/>
  <c r="G858" i="1"/>
  <c r="G688" i="1"/>
  <c r="G447" i="1"/>
  <c r="G507" i="1"/>
  <c r="G58" i="1"/>
  <c r="G890" i="1"/>
  <c r="G221" i="1"/>
  <c r="G733" i="1"/>
  <c r="G617" i="1"/>
  <c r="G189" i="1"/>
  <c r="G680" i="1"/>
  <c r="G12" i="1"/>
  <c r="G466" i="1"/>
  <c r="G555" i="1"/>
  <c r="G609" i="1"/>
  <c r="G40" i="1"/>
  <c r="G207" i="1"/>
  <c r="G143" i="1"/>
  <c r="G506" i="1"/>
  <c r="G317" i="1"/>
  <c r="G638" i="1"/>
  <c r="G854" i="1"/>
  <c r="G103" i="1"/>
  <c r="G791" i="1"/>
  <c r="G198" i="1"/>
  <c r="G853" i="1"/>
  <c r="G443" i="1"/>
  <c r="G632" i="1"/>
  <c r="G495" i="1"/>
  <c r="G887" i="1"/>
  <c r="G99" i="1"/>
  <c r="G110" i="1"/>
  <c r="G935" i="1"/>
  <c r="G188" i="1"/>
  <c r="G665" i="1"/>
  <c r="G400" i="1"/>
  <c r="G702" i="1"/>
  <c r="G120" i="1"/>
  <c r="G565" i="1"/>
  <c r="G809" i="1"/>
  <c r="G132" i="1"/>
  <c r="G701" i="1"/>
  <c r="G102" i="1"/>
  <c r="G399" i="1"/>
  <c r="G431" i="1"/>
  <c r="G679" i="1"/>
  <c r="G649" i="1"/>
  <c r="G430" i="1"/>
  <c r="G270" i="1"/>
  <c r="G757" i="1"/>
  <c r="G37" i="1"/>
  <c r="G671" i="1"/>
  <c r="G446" i="1"/>
  <c r="G518" i="1"/>
  <c r="G244" i="1"/>
  <c r="G316" i="1"/>
  <c r="G395" i="1"/>
  <c r="G339" i="1"/>
  <c r="G870" i="1"/>
  <c r="G670" i="1"/>
  <c r="G747" i="1"/>
  <c r="G529" i="1"/>
  <c r="G365" i="1"/>
  <c r="G817" i="1"/>
  <c r="G772" i="1"/>
  <c r="G197" i="1"/>
  <c r="G811" i="1"/>
  <c r="G760" i="1"/>
  <c r="G236" i="1"/>
  <c r="G892" i="1"/>
  <c r="G187" i="1"/>
  <c r="G398" i="1"/>
  <c r="G851" i="1"/>
  <c r="G380" i="1"/>
  <c r="G379" i="1"/>
  <c r="G119" i="1"/>
  <c r="G296" i="1"/>
  <c r="G153" i="1"/>
  <c r="G571" i="1"/>
  <c r="G656" i="1"/>
  <c r="G784" i="1"/>
  <c r="G505" i="1"/>
  <c r="G815" i="1"/>
  <c r="G494" i="1"/>
  <c r="G229" i="1"/>
  <c r="G228" i="1"/>
  <c r="G465" i="1"/>
  <c r="G775" i="1"/>
  <c r="G415" i="1"/>
  <c r="G493" i="1"/>
  <c r="G11" i="1"/>
  <c r="G107" i="1"/>
  <c r="G753" i="1"/>
  <c r="G177" i="1"/>
  <c r="G176" i="1"/>
  <c r="G329" i="1"/>
  <c r="G243" i="1"/>
  <c r="G700" i="1"/>
  <c r="G605" i="1"/>
  <c r="G756" i="1"/>
  <c r="G142" i="1"/>
  <c r="G79" i="1"/>
  <c r="G429" i="1"/>
  <c r="G884" i="1"/>
  <c r="G480" i="1"/>
  <c r="G14" i="1"/>
  <c r="G471" i="1"/>
  <c r="G16" i="1"/>
  <c r="G206" i="1"/>
  <c r="G604" i="1"/>
  <c r="G27" i="1"/>
  <c r="G175" i="1"/>
  <c r="G783" i="1"/>
  <c r="G152" i="1"/>
  <c r="G810" i="1"/>
  <c r="G61" i="1"/>
  <c r="G741" i="1"/>
  <c r="G84" i="1"/>
  <c r="G831" i="1"/>
  <c r="G242" i="1"/>
  <c r="G724" i="1"/>
  <c r="G241" i="1"/>
  <c r="G387" i="1"/>
  <c r="G669" i="1"/>
  <c r="G794" i="1"/>
  <c r="G850" i="1"/>
  <c r="G141" i="1"/>
  <c r="G328" i="1"/>
  <c r="G95" i="1"/>
  <c r="G196" i="1"/>
  <c r="G55" i="1"/>
  <c r="G364" i="1"/>
  <c r="G559" i="1"/>
  <c r="G830" i="1"/>
  <c r="G597" i="1"/>
  <c r="G877" i="1"/>
  <c r="G648" i="1"/>
  <c r="G699" i="1"/>
  <c r="G874" i="1"/>
  <c r="G771" i="1"/>
  <c r="G39" i="1"/>
  <c r="G846" i="1"/>
  <c r="G570" i="1"/>
  <c r="G541" i="1"/>
  <c r="G540" i="1"/>
  <c r="G616" i="1"/>
  <c r="G891" i="1"/>
  <c r="G876" i="1"/>
  <c r="G394" i="1"/>
  <c r="G517" i="1"/>
  <c r="G752" i="1"/>
  <c r="G220" i="1"/>
  <c r="G227" i="1"/>
  <c r="G347" i="1"/>
  <c r="G48" i="1"/>
  <c r="G492" i="1"/>
  <c r="G840" i="1"/>
  <c r="G564" i="1"/>
  <c r="G740" i="1"/>
  <c r="G235" i="1"/>
  <c r="G479" i="1"/>
  <c r="G849" i="1"/>
  <c r="G637" i="1"/>
  <c r="G276" i="1"/>
  <c r="G457" i="1"/>
  <c r="G915" i="1"/>
  <c r="G284" i="1"/>
  <c r="G24" i="1"/>
  <c r="G603" i="1"/>
  <c r="G719" i="1"/>
  <c r="G806" i="1"/>
  <c r="G826" i="1"/>
  <c r="G917" i="1"/>
  <c r="G664" i="1"/>
  <c r="G579" i="1"/>
  <c r="G195" i="1"/>
  <c r="G252" i="1"/>
  <c r="G442" i="1"/>
  <c r="G602" i="1"/>
  <c r="G295" i="1"/>
  <c r="G936" i="1"/>
  <c r="G539" i="1"/>
  <c r="G678" i="1"/>
  <c r="G730" i="1"/>
  <c r="G516" i="1"/>
  <c r="G714" i="1"/>
</calcChain>
</file>

<file path=xl/sharedStrings.xml><?xml version="1.0" encoding="utf-8"?>
<sst xmlns="http://schemas.openxmlformats.org/spreadsheetml/2006/main" count="4690" uniqueCount="2968">
  <si>
    <t>web-scraper-order</t>
  </si>
  <si>
    <t>web-scraper-start-url</t>
  </si>
  <si>
    <t>adres</t>
  </si>
  <si>
    <t>prijs</t>
  </si>
  <si>
    <t>grootte</t>
  </si>
  <si>
    <t>1540210900-1135</t>
  </si>
  <si>
    <t>https://www.funda.nl/koop/utrecht/p4/</t>
  </si>
  <si>
    <t>Galgenraklaan 25 3544 TN Utrecht</t>
  </si>
  <si>
    <t>€ 399.000 k.k.</t>
  </si>
  <si>
    <t>131 m² / 211 m² 5 kamers</t>
  </si>
  <si>
    <t>1540210656-439</t>
  </si>
  <si>
    <t>https://www.funda.nl/koop/utrecht/p51/</t>
  </si>
  <si>
    <t>Hofstraat 15 3581 TV Utrecht</t>
  </si>
  <si>
    <t>€ 450.000 k.k.</t>
  </si>
  <si>
    <t>103 m² / 59 m² 5 kamers</t>
  </si>
  <si>
    <t>1540210698-548</t>
  </si>
  <si>
    <t>https://www.funda.nl/koop/utrecht/p43/</t>
  </si>
  <si>
    <t>Pieter Nieuwlandstraat 53 3514 HC Utrecht</t>
  </si>
  <si>
    <t>€ 525.000 k.k.</t>
  </si>
  <si>
    <t>134 m² / 99 m² 6 kamers</t>
  </si>
  <si>
    <t>1540210731-638</t>
  </si>
  <si>
    <t>https://www.funda.nl/koop/utrecht/p37/</t>
  </si>
  <si>
    <t>Magdalenastraat 5 3512 NH Utrecht</t>
  </si>
  <si>
    <t>€ 875.000 k.k.</t>
  </si>
  <si>
    <t>126 m² / 160 m² 4 kamers</t>
  </si>
  <si>
    <t>1540210818-897</t>
  </si>
  <si>
    <t>https://www.funda.nl/koop/utrecht/p20/</t>
  </si>
  <si>
    <t>Otterstraat 90 bis 3513 CP Utrecht</t>
  </si>
  <si>
    <t>€ 420.000 k.k.</t>
  </si>
  <si>
    <t>105 m² 6 kamers</t>
  </si>
  <si>
    <t>1540210698-547</t>
  </si>
  <si>
    <t>Nedereindseweg 541 kavel A 3546 PN Utrecht</t>
  </si>
  <si>
    <t>€ 675.000 k.k.</t>
  </si>
  <si>
    <t>2.240 m²</t>
  </si>
  <si>
    <t>1540210767-749</t>
  </si>
  <si>
    <t>https://www.funda.nl/koop/utrecht/p30/</t>
  </si>
  <si>
    <t>Snelliuskade 6 3514 XA Utrecht</t>
  </si>
  <si>
    <t>€ 375.000 k.k.</t>
  </si>
  <si>
    <t>81 m² 3 kamers</t>
  </si>
  <si>
    <t>1540210911-1171</t>
  </si>
  <si>
    <t>https://www.funda.nl/koop/utrecht/p2/</t>
  </si>
  <si>
    <t>Prof. van Bemmelenlaan 9 3571 EK Utrecht</t>
  </si>
  <si>
    <t>€ 550.000 k.k.</t>
  </si>
  <si>
    <t>115 m² / 137 m² 7 kamers</t>
  </si>
  <si>
    <t>1540210746-690</t>
  </si>
  <si>
    <t>https://www.funda.nl/koop/utrecht/p34/</t>
  </si>
  <si>
    <t>Morelstraat 73 bis 3552 GM Utrecht</t>
  </si>
  <si>
    <t>€ 289.000 k.k.</t>
  </si>
  <si>
    <t>95 m² 5 kamers</t>
  </si>
  <si>
    <t>1540210834-946</t>
  </si>
  <si>
    <t>https://www.funda.nl/koop/utrecht/p17/</t>
  </si>
  <si>
    <t>Steve Bikostraat 43 3573 BB Utrecht</t>
  </si>
  <si>
    <t>€ 325.000 k.k.</t>
  </si>
  <si>
    <t>77 m² / 110 m² 5 kamers</t>
  </si>
  <si>
    <t>1540210803-854</t>
  </si>
  <si>
    <t>https://www.funda.nl/koop/utrecht/p23/</t>
  </si>
  <si>
    <t>Patrimoniumstraat 50 3555 GN Utrecht</t>
  </si>
  <si>
    <t>€ 225.000 k.k.</t>
  </si>
  <si>
    <t>70 m² / 120 m² 4 kamers</t>
  </si>
  <si>
    <t>1540210916-1180</t>
  </si>
  <si>
    <t>https://www.funda.nl/koop/utrecht/p1/</t>
  </si>
  <si>
    <t>Stuivingastraat 44 3544 LE Utrecht</t>
  </si>
  <si>
    <t>111 m² / 122 m² 5 kamers</t>
  </si>
  <si>
    <t>1540210626-347</t>
  </si>
  <si>
    <t>https://www.funda.nl/koop/utrecht/p57/</t>
  </si>
  <si>
    <t>Ter Laanstraat 10 3555 WB Utrecht</t>
  </si>
  <si>
    <t>€ 349.000 k.k.</t>
  </si>
  <si>
    <t>124 m² / 180 m² 4 kamers</t>
  </si>
  <si>
    <t>1540210662-448</t>
  </si>
  <si>
    <t>https://www.funda.nl/koop/utrecht/p50/</t>
  </si>
  <si>
    <t>Nieuwegracht 34 A 3512 LS Utrecht</t>
  </si>
  <si>
    <t>€ 1.135.000 k.k.</t>
  </si>
  <si>
    <t>308 m² 7 kamers</t>
  </si>
  <si>
    <t>1540210880-1073</t>
  </si>
  <si>
    <t>https://www.funda.nl/koop/utrecht/p8/</t>
  </si>
  <si>
    <t>Cor Ruyslaan 36 3584 GD Utrecht</t>
  </si>
  <si>
    <t>€ 650.000 k.k.</t>
  </si>
  <si>
    <t>167 m² / 184 m² 6 kamers</t>
  </si>
  <si>
    <t>1540210715-595</t>
  </si>
  <si>
    <t>https://www.funda.nl/koop/utrecht/p40/</t>
  </si>
  <si>
    <t>Hieronymuserf bouwnummer 1 3582 AB Utrecht</t>
  </si>
  <si>
    <t>€ 1.085.000 v.o.n.</t>
  </si>
  <si>
    <t>156 m² 5 kamers</t>
  </si>
  <si>
    <t>1540210905-1155</t>
  </si>
  <si>
    <t>https://www.funda.nl/koop/utrecht/p3/</t>
  </si>
  <si>
    <t>Rijnlaan 75 C 3522 BD Utrecht</t>
  </si>
  <si>
    <t>132 m² 3 kamers</t>
  </si>
  <si>
    <t>1540210818-892</t>
  </si>
  <si>
    <t>Prof. Leonard Fuchslaan 28 3571 HD Utrecht</t>
  </si>
  <si>
    <t>€ 620.000 k.k.</t>
  </si>
  <si>
    <t>115 m² / 132 m² 6 kamers</t>
  </si>
  <si>
    <t>1540210595-245</t>
  </si>
  <si>
    <t>https://www.funda.nl/koop/utrecht/p63/</t>
  </si>
  <si>
    <t>Borneostraat 9 3531 PE Utrecht</t>
  </si>
  <si>
    <t>€ 157.500 k.k.</t>
  </si>
  <si>
    <t>26 m² 2 kamers</t>
  </si>
  <si>
    <t>1540210885-1095</t>
  </si>
  <si>
    <t>https://www.funda.nl/koop/utrecht/p7/</t>
  </si>
  <si>
    <t>Huetlaan 5 3553 GN Utrecht</t>
  </si>
  <si>
    <t>€ 300.000 k.k.</t>
  </si>
  <si>
    <t>80 m² / 162 m² 5 kamers</t>
  </si>
  <si>
    <t>1540210864-1037</t>
  </si>
  <si>
    <t>https://www.funda.nl/koop/utrecht/p11/</t>
  </si>
  <si>
    <t>Brigittenstraat 11 3512 KJ Utrecht</t>
  </si>
  <si>
    <t>€ 1.650.000 k.k.</t>
  </si>
  <si>
    <t>304 m² 9 kamers</t>
  </si>
  <si>
    <t>1540210911-1173</t>
  </si>
  <si>
    <t>Laurens Reaalstraat 6 bis 3531 GN Utrecht</t>
  </si>
  <si>
    <t>€ 350.000 k.k.</t>
  </si>
  <si>
    <t>97 m² 4 kamers</t>
  </si>
  <si>
    <t>1540210715-604</t>
  </si>
  <si>
    <t>Gansstraat 10 a 3582 EH Utrecht</t>
  </si>
  <si>
    <t>€ 349.500 k.k.</t>
  </si>
  <si>
    <t>79 m² 2 kamers</t>
  </si>
  <si>
    <t>1540210782-790</t>
  </si>
  <si>
    <t>https://www.funda.nl/koop/utrecht/p27/</t>
  </si>
  <si>
    <t>Rubicondreef 68 * 3561 JD Utrecht</t>
  </si>
  <si>
    <t>€ 269.000 k.k.</t>
  </si>
  <si>
    <t>120 m² / 146 m² 6 kamers</t>
  </si>
  <si>
    <t>1540210736-664</t>
  </si>
  <si>
    <t>https://www.funda.nl/koop/utrecht/p36/</t>
  </si>
  <si>
    <t>Pelmolenplantsoen 8 3511 XZ Utrecht</t>
  </si>
  <si>
    <t>€ 1.249.000 k.k.</t>
  </si>
  <si>
    <t>177 m² / 244 m² 8 kamers</t>
  </si>
  <si>
    <t>1540210605-268</t>
  </si>
  <si>
    <t>https://www.funda.nl/koop/utrecht/p61/</t>
  </si>
  <si>
    <t>Oude Kerkstraat 12 3572 TJ Utrecht</t>
  </si>
  <si>
    <t>€ 485.000 k.k.</t>
  </si>
  <si>
    <t>100 m² 3 kamers</t>
  </si>
  <si>
    <t>1540210721-611</t>
  </si>
  <si>
    <t>https://www.funda.nl/koop/utrecht/p39/</t>
  </si>
  <si>
    <t>Edisonstraat 68 3553 BV Utrecht</t>
  </si>
  <si>
    <t>€ 259.000 k.k.</t>
  </si>
  <si>
    <t>75 m² 4 kamers</t>
  </si>
  <si>
    <t>1540210803-851</t>
  </si>
  <si>
    <t>Schoenlappervlinder 12 3544 DN Utrecht</t>
  </si>
  <si>
    <t>€ 440.000 k.k.</t>
  </si>
  <si>
    <t>137 m² / 223 m² 5 kamers</t>
  </si>
  <si>
    <t>1540210698-550</t>
  </si>
  <si>
    <t>Looierstraat 20 3582 AR Utrecht</t>
  </si>
  <si>
    <t>€ 535.000 k.k.</t>
  </si>
  <si>
    <t>109 m² / 78 m² 4 kamers</t>
  </si>
  <si>
    <t>1540210895-1122</t>
  </si>
  <si>
    <t>https://www.funda.nl/koop/utrecht/p5/</t>
  </si>
  <si>
    <t>Van Koetsveldstraat 123 3532 ER Utrecht</t>
  </si>
  <si>
    <t>€ 589.000 k.k.</t>
  </si>
  <si>
    <t>171 m² 6 kamers</t>
  </si>
  <si>
    <t>1540210651-423</t>
  </si>
  <si>
    <t>https://www.funda.nl/koop/utrecht/p52/</t>
  </si>
  <si>
    <t>Pelikaanstraat 4 3582 SB Utrecht</t>
  </si>
  <si>
    <t>101 m² / 82 m² 5 kamers</t>
  </si>
  <si>
    <t>1540210751-702</t>
  </si>
  <si>
    <t>https://www.funda.nl/koop/utrecht/p33/</t>
  </si>
  <si>
    <t>Vechtplantsoen 12 11 3554 TB Utrecht</t>
  </si>
  <si>
    <t>€ 150.000 k.k.</t>
  </si>
  <si>
    <t>38 m² 2 kamers</t>
  </si>
  <si>
    <t>1540210672-479</t>
  </si>
  <si>
    <t>https://www.funda.nl/koop/utrecht/p48/</t>
  </si>
  <si>
    <t>Valkstraat 45 3514 TH Utrecht</t>
  </si>
  <si>
    <t>€ 425.000 k.k.</t>
  </si>
  <si>
    <t>86 m² / 60 m² 4 kamers</t>
  </si>
  <si>
    <t>1540210792-821</t>
  </si>
  <si>
    <t>https://www.funda.nl/koop/utrecht/p25/</t>
  </si>
  <si>
    <t>Linnaeusstraat 43 bis 3553 CC Utrecht</t>
  </si>
  <si>
    <t>74 m² 3 kamers</t>
  </si>
  <si>
    <t>1540210631-359</t>
  </si>
  <si>
    <t>https://www.funda.nl/koop/utrecht/p56/</t>
  </si>
  <si>
    <t>Gruttersdijk 30 e 3514 BH Utrecht</t>
  </si>
  <si>
    <t>€ 299.500 k.k.</t>
  </si>
  <si>
    <t>73 m² 3 kamers</t>
  </si>
  <si>
    <t>1540210803-858</t>
  </si>
  <si>
    <t>Boomstraat 30 3582 KS Utrecht</t>
  </si>
  <si>
    <t>€ 795.000 k.k.</t>
  </si>
  <si>
    <t>139 m² / 124 m² 5 kamers</t>
  </si>
  <si>
    <t>1540210859-1025</t>
  </si>
  <si>
    <t>https://www.funda.nl/koop/utrecht/p12/</t>
  </si>
  <si>
    <t>Balderikstraat 131 3553 BD Utrecht</t>
  </si>
  <si>
    <t>€ 395.000 k.k.</t>
  </si>
  <si>
    <t>103 m² / 76 m² 5 kamers</t>
  </si>
  <si>
    <t>1540210651-420</t>
  </si>
  <si>
    <t>Cornelis Dirkszstraat 23 3554 VJ Utrecht</t>
  </si>
  <si>
    <t>91 m² / 76 m² 5 kamers</t>
  </si>
  <si>
    <t>1540210895-1125</t>
  </si>
  <si>
    <t>Nicolaasweg 134 -134bis 3581 VL Utrecht</t>
  </si>
  <si>
    <t>€ 885.000 k.k.</t>
  </si>
  <si>
    <t>196 m² / 116 m² 6 kamers</t>
  </si>
  <si>
    <t>1540210869-1048</t>
  </si>
  <si>
    <t>https://www.funda.nl/koop/utrecht/p10/</t>
  </si>
  <si>
    <t>Jansveld 2B en 2C 3512 BG Utrecht</t>
  </si>
  <si>
    <t>€ 1.095.000 k.k.</t>
  </si>
  <si>
    <t>225 m² 5 kamers</t>
  </si>
  <si>
    <t>1540210621-328</t>
  </si>
  <si>
    <t>https://www.funda.nl/koop/utrecht/p58/</t>
  </si>
  <si>
    <t>Antonius Matthaeuslaan 72 3515 AT Utrecht</t>
  </si>
  <si>
    <t>€ 400.000 k.k.</t>
  </si>
  <si>
    <t>117 m² 4 kamers</t>
  </si>
  <si>
    <t>1540210792-830</t>
  </si>
  <si>
    <t>Oude Kerkstraat 11 bis 3572 TG Utrecht</t>
  </si>
  <si>
    <t>105 m² 4 kamers</t>
  </si>
  <si>
    <t>1540210875-1067</t>
  </si>
  <si>
    <t>https://www.funda.nl/koop/utrecht/p9/</t>
  </si>
  <si>
    <t>Van Esveldstraat 253 3572 KM Utrecht</t>
  </si>
  <si>
    <t>105 m² 3 kamers</t>
  </si>
  <si>
    <t>1540210854-999</t>
  </si>
  <si>
    <t>https://www.funda.nl/koop/utrecht/p13/</t>
  </si>
  <si>
    <t>Tigrisdreef 284 3564 GS Utrecht</t>
  </si>
  <si>
    <t>€ 260.000 k.k.</t>
  </si>
  <si>
    <t>110 m² / 162 m² 5 kamers</t>
  </si>
  <si>
    <t>1540210808-871</t>
  </si>
  <si>
    <t>https://www.funda.nl/koop/utrecht/p22/</t>
  </si>
  <si>
    <t>Noltheniusstraat 19 3533 SE Utrecht</t>
  </si>
  <si>
    <t>€ 695.000 k.k.</t>
  </si>
  <si>
    <t>175 m² / 227 m² 6 kamers</t>
  </si>
  <si>
    <t>1540210631-365</t>
  </si>
  <si>
    <t>Euterpedreef 80 3561 CX Utrecht</t>
  </si>
  <si>
    <t>€ 145.000 k.k.</t>
  </si>
  <si>
    <t>35 m² 2 kamers</t>
  </si>
  <si>
    <t>1540210626-351</t>
  </si>
  <si>
    <t>Jerry Bockstraat 8 3543 CB Utrecht</t>
  </si>
  <si>
    <t>€ 410.000 k.k.</t>
  </si>
  <si>
    <t>145 m² / 172 m² 6 kamers</t>
  </si>
  <si>
    <t>1540210731-639</t>
  </si>
  <si>
    <t>Borneostraat 35 3531 PG Utrecht</t>
  </si>
  <si>
    <t>194 m² / 101 m² 7 kamers</t>
  </si>
  <si>
    <t>1540210864-1032</t>
  </si>
  <si>
    <t>Pallaesstraat 24 3581 RP Utrecht</t>
  </si>
  <si>
    <t>€ 575.000 k.k.</t>
  </si>
  <si>
    <t>129 m² / 90 m² 4 kamers</t>
  </si>
  <si>
    <t>1540210741-674</t>
  </si>
  <si>
    <t>https://www.funda.nl/koop/utrecht/p35/</t>
  </si>
  <si>
    <t>Gerard Doustraat 38 3583 SG Utrecht</t>
  </si>
  <si>
    <t>€ 745.000 k.k.</t>
  </si>
  <si>
    <t>122 m² / 107 m² 6 kamers</t>
  </si>
  <si>
    <t>1540210698-551</t>
  </si>
  <si>
    <t>Willem Barentszstraat 61 3572 PD Utrecht</t>
  </si>
  <si>
    <t>198 m² / 163 m² 7 kamers</t>
  </si>
  <si>
    <t>1540210621-335</t>
  </si>
  <si>
    <t>Marnixlaan 268 3552 HK Utrecht</t>
  </si>
  <si>
    <t>114 m² 4 kamers</t>
  </si>
  <si>
    <t>1540210610-285</t>
  </si>
  <si>
    <t>https://www.funda.nl/koop/utrecht/p60/</t>
  </si>
  <si>
    <t>Bouwnummer (Bouwnr. 17) 3528 BC Utrecht</t>
  </si>
  <si>
    <t>€ 829.000 v.o.n.</t>
  </si>
  <si>
    <t>168 m² 6 kamers</t>
  </si>
  <si>
    <t>1540210726-622</t>
  </si>
  <si>
    <t>https://www.funda.nl/koop/utrecht/p38/</t>
  </si>
  <si>
    <t>De Parkwachter (Bouwnr. 37) 3541 Utrecht</t>
  </si>
  <si>
    <t>€ 475.000 v.o.n.</t>
  </si>
  <si>
    <t>108 m² 3 kamers</t>
  </si>
  <si>
    <t>1540210736-652</t>
  </si>
  <si>
    <t>Prinses Ireneplateau 107 3554 HW Utrecht</t>
  </si>
  <si>
    <t>€ 270.000 k.k.</t>
  </si>
  <si>
    <t>88 m² 3 kamers</t>
  </si>
  <si>
    <t>1540210641-384</t>
  </si>
  <si>
    <t>https://www.funda.nl/koop/utrecht/p54/</t>
  </si>
  <si>
    <t>Singelstraat 30 A 3513 BP Utrecht</t>
  </si>
  <si>
    <t>€ 199.000 k.k.</t>
  </si>
  <si>
    <t>41 m² 2 kamers</t>
  </si>
  <si>
    <t>1540210646-401</t>
  </si>
  <si>
    <t>https://www.funda.nl/koop/utrecht/p53/</t>
  </si>
  <si>
    <t>Van Eysingalaan 183 3527 VE Utrecht</t>
  </si>
  <si>
    <t>€ 195.000 k.k.</t>
  </si>
  <si>
    <t>70 m² 3 kamers</t>
  </si>
  <si>
    <t>1540210762-727</t>
  </si>
  <si>
    <t>https://www.funda.nl/koop/utrecht/p31/</t>
  </si>
  <si>
    <t>Schutterstraat 4 3512 XL Utrecht</t>
  </si>
  <si>
    <t>€ 255.000 k.k.</t>
  </si>
  <si>
    <t>54 m² / 36 m² 3 kamers</t>
  </si>
  <si>
    <t>1540210782-795</t>
  </si>
  <si>
    <t>Croesestraat 92 3522 AJ Utrecht</t>
  </si>
  <si>
    <t>€ 419.000 k.k.</t>
  </si>
  <si>
    <t>84 m² / 107 m² 4 kamers</t>
  </si>
  <si>
    <t>1540210741-668</t>
  </si>
  <si>
    <t>Looplantsoen 200 3523 GZ Utrecht</t>
  </si>
  <si>
    <t>€ 209.000 k.k.</t>
  </si>
  <si>
    <t>64 m² 3 kamers</t>
  </si>
  <si>
    <t>1540210916-1183</t>
  </si>
  <si>
    <t>Lessinglaan 12 3533 AW Utrecht</t>
  </si>
  <si>
    <t>€ 725.000 k.k.</t>
  </si>
  <si>
    <t>177 m² / 216 m² 7 kamers</t>
  </si>
  <si>
    <t>1540210741-678</t>
  </si>
  <si>
    <t>Wagenstraat 16 3581 WP Utrecht</t>
  </si>
  <si>
    <t>152 m² / 96 m² 8 kamers</t>
  </si>
  <si>
    <t>1540210605-276</t>
  </si>
  <si>
    <t>Jule Stynestraat 3 3543 DV Utrecht</t>
  </si>
  <si>
    <t>€ 398.500 v.o.n.</t>
  </si>
  <si>
    <t>125 m² 4 kamers</t>
  </si>
  <si>
    <t>1540210621-331</t>
  </si>
  <si>
    <t>Vleutenseweg 100 3532 HM Utrecht</t>
  </si>
  <si>
    <t>90 m² 5 kamers</t>
  </si>
  <si>
    <t>1540210885-1093</t>
  </si>
  <si>
    <t>Albert van Dalsumlaan 189 3584 HD Utrecht</t>
  </si>
  <si>
    <t>76 m² 3 kamers</t>
  </si>
  <si>
    <t>1540210600-251</t>
  </si>
  <si>
    <t>https://www.funda.nl/koop/utrecht/p62/</t>
  </si>
  <si>
    <t>Hieronymuserf bouwnummer 9 3582 AB Utrecht</t>
  </si>
  <si>
    <t>€ 855.000 v.o.n.</t>
  </si>
  <si>
    <t>133 m² 4 kamers</t>
  </si>
  <si>
    <t>1540210782-791</t>
  </si>
  <si>
    <t>Spinozaweg 12 3532 SG Utrecht</t>
  </si>
  <si>
    <t>76 m² / 85 m² 4 kamers</t>
  </si>
  <si>
    <t>1540210803-861</t>
  </si>
  <si>
    <t>Amsterdamsestraatweg 1005 3555 HS Utrecht</t>
  </si>
  <si>
    <t>€ 549.000 k.k.</t>
  </si>
  <si>
    <t>168 m² / 225 m² 7 kamers</t>
  </si>
  <si>
    <t>1540210844-969</t>
  </si>
  <si>
    <t>https://www.funda.nl/koop/utrecht/p15/</t>
  </si>
  <si>
    <t>Bataviastraat 10 bis 3531 XD Utrecht</t>
  </si>
  <si>
    <t>€ 198.000 k.k.</t>
  </si>
  <si>
    <t>51 m² 3 kamers</t>
  </si>
  <si>
    <t>1540210590-227</t>
  </si>
  <si>
    <t>https://www.funda.nl/koop/utrecht/p64/</t>
  </si>
  <si>
    <t>Haflingerstraat 7 3573 SL Utrecht</t>
  </si>
  <si>
    <t>€ 515.000 k.k.</t>
  </si>
  <si>
    <t>137 m² / 120 m² 5 kamers</t>
  </si>
  <si>
    <t>1540210682-512</t>
  </si>
  <si>
    <t>https://www.funda.nl/koop/utrecht/p46/</t>
  </si>
  <si>
    <t>Laan van Nieuw-Guinea 48 a 3531 JL Utrecht</t>
  </si>
  <si>
    <t>€ 185.000 k.k.</t>
  </si>
  <si>
    <t>45 m² 2 kamers</t>
  </si>
  <si>
    <t>1540210916-1177</t>
  </si>
  <si>
    <t>Johanniterweg 15 3544 ND Utrecht</t>
  </si>
  <si>
    <t>€ 635.000 k.k.</t>
  </si>
  <si>
    <t>159 m² / 1.418 m² 6 kamers</t>
  </si>
  <si>
    <t>1540210813-884</t>
  </si>
  <si>
    <t>https://www.funda.nl/koop/utrecht/p21/</t>
  </si>
  <si>
    <t>Marnixlaan 242 B 3552 HK Utrecht</t>
  </si>
  <si>
    <t>€ 245.000 k.k.</t>
  </si>
  <si>
    <t>65 m² 2 kamers</t>
  </si>
  <si>
    <t>1540210834-945</t>
  </si>
  <si>
    <t>Ardennen 34 3524 VD Utrecht</t>
  </si>
  <si>
    <t>€ 389.000 k.k.</t>
  </si>
  <si>
    <t>150 m² / 229 m² 7 kamers</t>
  </si>
  <si>
    <t>1540210885-1090</t>
  </si>
  <si>
    <t>Jacob van der Borchstraat 6 3515 XD Utrecht</t>
  </si>
  <si>
    <t>€ 329.000 k.k.</t>
  </si>
  <si>
    <t>68 m² 3 kamers</t>
  </si>
  <si>
    <t>1540210751-700</t>
  </si>
  <si>
    <t>Ina Boudier-Bakkerlaan 38 E 3582 VA Utrecht</t>
  </si>
  <si>
    <t>€ 175.000 k.k.</t>
  </si>
  <si>
    <t>30 m² 1 kamer</t>
  </si>
  <si>
    <t>1540210828-933</t>
  </si>
  <si>
    <t>https://www.funda.nl/koop/utrecht/p18/</t>
  </si>
  <si>
    <t>Royaards van den Hamkade 95 bis 3552 CL Utrecht</t>
  </si>
  <si>
    <t>115 m² 5 kamers</t>
  </si>
  <si>
    <t>1540210905-1148</t>
  </si>
  <si>
    <t>Arthur van Schendelstraat 747 3511 MZ Utrecht</t>
  </si>
  <si>
    <t>€ 315.000 k.k.</t>
  </si>
  <si>
    <t>71 m² 3 kamers</t>
  </si>
  <si>
    <t>1540210708-585</t>
  </si>
  <si>
    <t>https://www.funda.nl/koop/utrecht/p41/</t>
  </si>
  <si>
    <t>Koppestokstraat 31 BIS 3554 BB Utrecht</t>
  </si>
  <si>
    <t>€ 90.000 k.k.</t>
  </si>
  <si>
    <t>22 m² 1 kamer</t>
  </si>
  <si>
    <t>1540210772-768</t>
  </si>
  <si>
    <t>https://www.funda.nl/koop/utrecht/p29/</t>
  </si>
  <si>
    <t>Langerakbaan 437 3544 SP Utrecht</t>
  </si>
  <si>
    <t>99 m² 3 kamers</t>
  </si>
  <si>
    <t>1540210595-246</t>
  </si>
  <si>
    <t>Alexander Numankade 17 -8 3572 KP Utrecht</t>
  </si>
  <si>
    <t>€ 115.000 k.k.</t>
  </si>
  <si>
    <t>21 m² 1 kamer</t>
  </si>
  <si>
    <t>1540210859-1018</t>
  </si>
  <si>
    <t>Schutstraat 178 3551 AE Utrecht</t>
  </si>
  <si>
    <t>1540210869-1042</t>
  </si>
  <si>
    <t>Stadhouderslaan 97 3583 JG Utrecht</t>
  </si>
  <si>
    <t>€ 1.195.000 k.k.</t>
  </si>
  <si>
    <t>211 m² / 199 m² 6 kamers</t>
  </si>
  <si>
    <t>1540210911-1162</t>
  </si>
  <si>
    <t>Schoonebekerstraat 2 3573 SV Utrecht</t>
  </si>
  <si>
    <t>€ 365.000 k.k.</t>
  </si>
  <si>
    <t>94 m² / 52 m² 4 kamers</t>
  </si>
  <si>
    <t>1540210646-405</t>
  </si>
  <si>
    <t>Surinamestraat 90 3531 KN Utrecht</t>
  </si>
  <si>
    <t>€ 165.000 k.k.</t>
  </si>
  <si>
    <t>50 m² 3 kamers</t>
  </si>
  <si>
    <t>1540210703-565</t>
  </si>
  <si>
    <t>https://www.funda.nl/koop/utrecht/p42/</t>
  </si>
  <si>
    <t>Joke Smitplein 13 3581 PZ Utrecht</t>
  </si>
  <si>
    <t>€ 275.000 k.k.</t>
  </si>
  <si>
    <t>1540210767-753</t>
  </si>
  <si>
    <t>Croeselaan 199 bis 3521 BM Utrecht</t>
  </si>
  <si>
    <t>140 m² 6 kamers</t>
  </si>
  <si>
    <t>1540210916-1185</t>
  </si>
  <si>
    <t>Klifrakplantsoen 108 3544 RB Utrecht</t>
  </si>
  <si>
    <t>115 m² / 173 m² 5 kamers</t>
  </si>
  <si>
    <t>1540210708-588</t>
  </si>
  <si>
    <t>Prof. Ritzema Boslaan 28 3571 CS Utrecht</t>
  </si>
  <si>
    <t>129 m² / 192 m² 5 kamers</t>
  </si>
  <si>
    <t>1540210885-1087</t>
  </si>
  <si>
    <t>Pablo Picassostraat 193 3544 NX Utrecht</t>
  </si>
  <si>
    <t>€ 234.500 k.k.</t>
  </si>
  <si>
    <t>76 m² 2 kamers</t>
  </si>
  <si>
    <t>1540210767-752</t>
  </si>
  <si>
    <t>Von Kleistlaan 3 III 3533 BA Utrecht</t>
  </si>
  <si>
    <t>€ 295.000 k.k.</t>
  </si>
  <si>
    <t>84 m² 4 kamers</t>
  </si>
  <si>
    <t>1540210767-742</t>
  </si>
  <si>
    <t>Hijmans van den Berghlaan 30 3571 PB Utrecht</t>
  </si>
  <si>
    <t>1540210880-1075</t>
  </si>
  <si>
    <t>Havikstraat 45 a 3514 TM Utrecht</t>
  </si>
  <si>
    <t>€ 319.000 k.k.</t>
  </si>
  <si>
    <t>68 m² 2 kamers</t>
  </si>
  <si>
    <t>1540210600-249</t>
  </si>
  <si>
    <t>Predikherenkerkhof 7 A 3512 TJ Utrecht</t>
  </si>
  <si>
    <t>139 m² 4 kamers</t>
  </si>
  <si>
    <t>1540210880-1084</t>
  </si>
  <si>
    <t>Domstraat 50 3512 JB Utrecht</t>
  </si>
  <si>
    <t>57 m² 2 kamers</t>
  </si>
  <si>
    <t>1540210708-586</t>
  </si>
  <si>
    <t>Alexander Numankade 17 7. 3572 KP Utrecht</t>
  </si>
  <si>
    <t>€ 105.000 v.o.n.</t>
  </si>
  <si>
    <t>18 m² 1 kamer</t>
  </si>
  <si>
    <t>1540210792-820</t>
  </si>
  <si>
    <t>Predikherenkerkhof 20 +P 3512 TK Utrecht</t>
  </si>
  <si>
    <t>101 m² 4 kamers</t>
  </si>
  <si>
    <t>1540210787-815</t>
  </si>
  <si>
    <t>https://www.funda.nl/koop/utrecht/p26/</t>
  </si>
  <si>
    <t>Weg naar 't Zand 26 3544 KR Utrecht</t>
  </si>
  <si>
    <t>€ 309.500 k.k.</t>
  </si>
  <si>
    <t>93 m² / 113 m² 4 kamers</t>
  </si>
  <si>
    <t>1540210682-508</t>
  </si>
  <si>
    <t>Operettelaan 343 3543 BR Utrecht</t>
  </si>
  <si>
    <t>€ 385.000 k.k.</t>
  </si>
  <si>
    <t>147 m² / 144 m² 7 kamers</t>
  </si>
  <si>
    <t>1540210621-329</t>
  </si>
  <si>
    <t>IJsvogelhof 2 3582 DJ Utrecht</t>
  </si>
  <si>
    <t>98 m² 4 kamers</t>
  </si>
  <si>
    <t>1540210731-644</t>
  </si>
  <si>
    <t>De Louterlaan 10 3527 KM Utrecht</t>
  </si>
  <si>
    <t>€ 250.000 k.k.</t>
  </si>
  <si>
    <t>74 m² / 130 m² 3 kamers</t>
  </si>
  <si>
    <t>1540210808-863</t>
  </si>
  <si>
    <t>Crouweldijk 106 3544 MX Utrecht</t>
  </si>
  <si>
    <t>74 m² / 110 m² 3 kamers</t>
  </si>
  <si>
    <t>1540210834-941</t>
  </si>
  <si>
    <t>Bessemerlaan 62 3553 GE Utrecht</t>
  </si>
  <si>
    <t>€ 439.500 k.k.</t>
  </si>
  <si>
    <t>101 m² / 118 m² 4 kamers</t>
  </si>
  <si>
    <t>1540210818-902</t>
  </si>
  <si>
    <t>Keizersmantelhof 26 3544 VJ Utrecht</t>
  </si>
  <si>
    <t>163 m² / 176 m² 7 kamers</t>
  </si>
  <si>
    <t>1540210621-326</t>
  </si>
  <si>
    <t>Livingstonelaan 1220 3526 JV Utrecht</t>
  </si>
  <si>
    <t>€ 200.000 k.k.</t>
  </si>
  <si>
    <t>102 m² 4 kamers</t>
  </si>
  <si>
    <t>1540210885-1092</t>
  </si>
  <si>
    <t>Hendrick de Keyserstraat 29 3583 TE Utrecht</t>
  </si>
  <si>
    <t>€ 639.000 k.k.</t>
  </si>
  <si>
    <t>150 m² 5 kamers</t>
  </si>
  <si>
    <t>1540210677-489</t>
  </si>
  <si>
    <t>https://www.funda.nl/koop/utrecht/p47/</t>
  </si>
  <si>
    <t>Mr. Tripkade 11 3571 SV Utrecht</t>
  </si>
  <si>
    <t>123 m² / 281 m² 6 kamers</t>
  </si>
  <si>
    <t>1540210808-873</t>
  </si>
  <si>
    <t>Eemstraat 82 3522 SR Utrecht</t>
  </si>
  <si>
    <t>€ 370.000 k.k.</t>
  </si>
  <si>
    <t>110 m² / 117 m² 5 kamers</t>
  </si>
  <si>
    <t>1540210677-494</t>
  </si>
  <si>
    <t>Noordzeestraat 1 3522 PH Utrecht</t>
  </si>
  <si>
    <t>€ 265.000 k.k.</t>
  </si>
  <si>
    <t>65 m² 3 kamers</t>
  </si>
  <si>
    <t>1540210641-382</t>
  </si>
  <si>
    <t>Rhodosdreef 30 3562 TE Utrecht</t>
  </si>
  <si>
    <t>1540210741-667</t>
  </si>
  <si>
    <t>Biltstraat 375 3572 AT Utrecht</t>
  </si>
  <si>
    <t>60 m² 1 kamer</t>
  </si>
  <si>
    <t>1540210715-596</t>
  </si>
  <si>
    <t>Willem Hedastraat 13 3552 AN Utrecht</t>
  </si>
  <si>
    <t>89 m² / 65 m² 4 kamers</t>
  </si>
  <si>
    <t>1540210662-446</t>
  </si>
  <si>
    <t>Cayennedreef 4 3563 SB Utrecht</t>
  </si>
  <si>
    <t>89 m² 3 kamers</t>
  </si>
  <si>
    <t>1540210818-901</t>
  </si>
  <si>
    <t>Kanaalweg 20 3526 KL Utrecht</t>
  </si>
  <si>
    <t>€ 660.000 k.k.</t>
  </si>
  <si>
    <t>177 m² / 296 m² 6 kamers</t>
  </si>
  <si>
    <t>1540210762-730</t>
  </si>
  <si>
    <t>Klaverstraat 30 3572 VE Utrecht</t>
  </si>
  <si>
    <t>92 m² / 60 m² 4 kamers</t>
  </si>
  <si>
    <t>1540210828-936</t>
  </si>
  <si>
    <t>H. Diemerstraat 37 3555 GR Utrecht</t>
  </si>
  <si>
    <t>€ 230.000 k.k.</t>
  </si>
  <si>
    <t>69 m² 4 kamers</t>
  </si>
  <si>
    <t>1540210849-986</t>
  </si>
  <si>
    <t>https://www.funda.nl/koop/utrecht/p14/</t>
  </si>
  <si>
    <t>Nedereindseweg 543 3546 PN Utrecht</t>
  </si>
  <si>
    <t>€ 1.845.000 k.k.</t>
  </si>
  <si>
    <t>225 m² / 9.565 m² 10 kamers</t>
  </si>
  <si>
    <t>1540210813-888</t>
  </si>
  <si>
    <t>Telderslaan 31 3527 KD Utrecht</t>
  </si>
  <si>
    <t>€ 215.000 k.k.</t>
  </si>
  <si>
    <t>75 m² 3 kamers</t>
  </si>
  <si>
    <t>1540210682-504</t>
  </si>
  <si>
    <t>Jerry Bockstraat 14 3543 CB Utrecht</t>
  </si>
  <si>
    <t>€ 415.000 k.k.</t>
  </si>
  <si>
    <t>141 m² / 172 m² 5 kamers</t>
  </si>
  <si>
    <t>1540210703-566</t>
  </si>
  <si>
    <t>Visschersplein 75 A 3511 LX Utrecht</t>
  </si>
  <si>
    <t>€ 750.000 k.k.</t>
  </si>
  <si>
    <t>160 m² 4 kamers</t>
  </si>
  <si>
    <t>1540210777-777</t>
  </si>
  <si>
    <t>https://www.funda.nl/koop/utrecht/p28/</t>
  </si>
  <si>
    <t>Bloesemstraat 9 3581 XA Utrecht</t>
  </si>
  <si>
    <t>70 m² / 76 m² 4 kamers</t>
  </si>
  <si>
    <t>1540210762-737</t>
  </si>
  <si>
    <t>Aureliahof 15 3544 VE Utrecht</t>
  </si>
  <si>
    <t>145 m² 6 kamers</t>
  </si>
  <si>
    <t>1540210900-1143</t>
  </si>
  <si>
    <t>Prins Hendriklaan 104 3584 ES Utrecht</t>
  </si>
  <si>
    <t>€ 895.000 k.k.</t>
  </si>
  <si>
    <t>164 m² / 213 m² 7 kamers</t>
  </si>
  <si>
    <t>1540210687-530</t>
  </si>
  <si>
    <t>https://www.funda.nl/koop/utrecht/p45/</t>
  </si>
  <si>
    <t>Bilderdijkstraat 71 3532 VD Utrecht</t>
  </si>
  <si>
    <t>€ 380.000 k.k.</t>
  </si>
  <si>
    <t>88 m² / 89 m² 4 kamers</t>
  </si>
  <si>
    <t>1540210687-517</t>
  </si>
  <si>
    <t>Pretoriadreef 15 3564 BX Utrecht</t>
  </si>
  <si>
    <t>104 m² 3 kamers</t>
  </si>
  <si>
    <t>1540210844-967</t>
  </si>
  <si>
    <t>Nieuwe Koekoekstraat 66 66 bis 3514 EH Utrecht</t>
  </si>
  <si>
    <t>138 m² / 91 m² 5 kamers</t>
  </si>
  <si>
    <t>1540210798-845</t>
  </si>
  <si>
    <t>https://www.funda.nl/koop/utrecht/p24/</t>
  </si>
  <si>
    <t>Wittevrouwensingel 26 J 3581 GC Utrecht</t>
  </si>
  <si>
    <t>€ 500.000 k.k.</t>
  </si>
  <si>
    <t>125 m² 3 kamers</t>
  </si>
  <si>
    <t>1540210651-421</t>
  </si>
  <si>
    <t>Prins Hendriklaan 88 3584 ER Utrecht</t>
  </si>
  <si>
    <t>€ 1.175.000 k.k.</t>
  </si>
  <si>
    <t>191 m² / 301 m² 8 kamers</t>
  </si>
  <si>
    <t>1540210803-859</t>
  </si>
  <si>
    <t>Schoenerstraat 25 3534 RK Utrecht</t>
  </si>
  <si>
    <t>85 m² / 108 m² 4 kamers</t>
  </si>
  <si>
    <t>1540210615-302</t>
  </si>
  <si>
    <t>https://www.funda.nl/koop/utrecht/p59/</t>
  </si>
  <si>
    <t>Bouwnummer (Bouwnr. 16) 3528 BC Utrecht</t>
  </si>
  <si>
    <t>€ 399.000 v.o.n.</t>
  </si>
  <si>
    <t>91 m² 3 kamers</t>
  </si>
  <si>
    <t>1540210792-829</t>
  </si>
  <si>
    <t>Engelen van Pijlsweertstraat 1 bis 3513 GC Utrecht</t>
  </si>
  <si>
    <t>€ 285.000 k.k.</t>
  </si>
  <si>
    <t>83 m² 4 kamers</t>
  </si>
  <si>
    <t>1540210813-883</t>
  </si>
  <si>
    <t>Draaiweg 37 3515 EJ Utrecht</t>
  </si>
  <si>
    <t>€ 339.000 k.k.</t>
  </si>
  <si>
    <t>76 m² 4 kamers</t>
  </si>
  <si>
    <t>1540210621-324</t>
  </si>
  <si>
    <t>Merelstraat 27 bis 3514 CM Utrecht</t>
  </si>
  <si>
    <t>103 m² 6 kamers</t>
  </si>
  <si>
    <t>1540210692-544</t>
  </si>
  <si>
    <t>https://www.funda.nl/koop/utrecht/p44/</t>
  </si>
  <si>
    <t>Transvaaldreef 19 3564 BW Utrecht</t>
  </si>
  <si>
    <t>96 m² 3 kamers</t>
  </si>
  <si>
    <t>1540210615-299</t>
  </si>
  <si>
    <t>Ronduit Utrecht - Markante Hoekwoningen (Bouwnr. 34) 3528 BC Utrecht</t>
  </si>
  <si>
    <t>€ 689.000 v.o.n.</t>
  </si>
  <si>
    <t>125 m² 5 kamers</t>
  </si>
  <si>
    <t>1540210757-723</t>
  </si>
  <si>
    <t>https://www.funda.nl/koop/utrecht/p32/</t>
  </si>
  <si>
    <t>Staalstraat 6 b 3572 RJ Utrecht</t>
  </si>
  <si>
    <t>34 m² 2 kamers</t>
  </si>
  <si>
    <t>1540210615-293</t>
  </si>
  <si>
    <t>Ridderschapstraat 27 3512 CN Utrecht</t>
  </si>
  <si>
    <t>€ 489.000 k.k.</t>
  </si>
  <si>
    <t>140 m² 4 kamers</t>
  </si>
  <si>
    <t>1540210641-391</t>
  </si>
  <si>
    <t>Koppestokstraat 55 3554 BB Utrecht</t>
  </si>
  <si>
    <t>€ 249.000 k.k.</t>
  </si>
  <si>
    <t>78 m² / 81 m² 5 kamers</t>
  </si>
  <si>
    <t>1540210777-785</t>
  </si>
  <si>
    <t>Livingstonelaan 564 3526 JD Utrecht</t>
  </si>
  <si>
    <t>94 m² 4 kamers</t>
  </si>
  <si>
    <t>1540210890-1103</t>
  </si>
  <si>
    <t>https://www.funda.nl/koop/utrecht/p6/</t>
  </si>
  <si>
    <t>Oranje-Nassaulaan 45 3523 VP Utrecht</t>
  </si>
  <si>
    <t>122 m² / 92 m² 6 kamers</t>
  </si>
  <si>
    <t>1540210736-665</t>
  </si>
  <si>
    <t>Van Swindenstraat 124 3514 XX Utrecht</t>
  </si>
  <si>
    <t>€ 569.000 k.k.</t>
  </si>
  <si>
    <t>126 m² / 97 m² 6 kamers</t>
  </si>
  <si>
    <t>1540210762-728</t>
  </si>
  <si>
    <t>Schoenerstraat 2 3534 RM Utrecht</t>
  </si>
  <si>
    <t>€ 337.500 k.k.</t>
  </si>
  <si>
    <t>94 m² / 111 m² 4 kamers</t>
  </si>
  <si>
    <t>1540210692-541</t>
  </si>
  <si>
    <t>Milosdreef 21 3562 VE Utrecht</t>
  </si>
  <si>
    <t>92 m² 4 kamers</t>
  </si>
  <si>
    <t>1540210757-726</t>
  </si>
  <si>
    <t>Livingstonelaan 180 3526 HS Utrecht</t>
  </si>
  <si>
    <t>€ 169.000 k.k.</t>
  </si>
  <si>
    <t>56 m² 2 kamers</t>
  </si>
  <si>
    <t>1540210905-1158</t>
  </si>
  <si>
    <t>Linnaeuslaan 48 3571 TZ Utrecht</t>
  </si>
  <si>
    <t>129 m² / 149 m² 6 kamers</t>
  </si>
  <si>
    <t>1540210631-361</t>
  </si>
  <si>
    <t>Eduard Verkadelaan 41 3584 GS Utrecht</t>
  </si>
  <si>
    <t>63 m² 3 kamers</t>
  </si>
  <si>
    <t>1540210905-1152</t>
  </si>
  <si>
    <t>Verlengde Houtrakgracht 377 3544 EC Utrecht</t>
  </si>
  <si>
    <t>€ 475.000 k.k.</t>
  </si>
  <si>
    <t>157 m² 5 kamers</t>
  </si>
  <si>
    <t>1540210787-810</t>
  </si>
  <si>
    <t>Coornhertstraat 61 3521 XG Utrecht</t>
  </si>
  <si>
    <t>109 m² / 76 m² 5 kamers</t>
  </si>
  <si>
    <t>1540210854-1002</t>
  </si>
  <si>
    <t>Achter St.-Pieter 4 D 3512 HS Utrecht</t>
  </si>
  <si>
    <t>60 m² 2 kamers</t>
  </si>
  <si>
    <t>€ 25.000 k.k.</t>
  </si>
  <si>
    <t>1540210762-741</t>
  </si>
  <si>
    <t>Peltlaan 13 3527 EA Utrecht</t>
  </si>
  <si>
    <t>129 m² / 139 m² 7 kamers</t>
  </si>
  <si>
    <t>1540210646-409</t>
  </si>
  <si>
    <t>Twijnstraat 12 B 3511 ZK Utrecht</t>
  </si>
  <si>
    <t>1540210605-274</t>
  </si>
  <si>
    <t>Bouwnummer (Bouwnr. 18) 3541 BH Utrecht</t>
  </si>
  <si>
    <t>€ 399.500 v.o.n.</t>
  </si>
  <si>
    <t>124 m² 5 kamers</t>
  </si>
  <si>
    <t>1540210900-1141</t>
  </si>
  <si>
    <t>Wolvenstraat 3 3512 CG Utrecht</t>
  </si>
  <si>
    <t>69 m² / 33 m² 4 kamers</t>
  </si>
  <si>
    <t>1540210600-253</t>
  </si>
  <si>
    <t>'t Zand 2 b en c 3544 NC Utrecht</t>
  </si>
  <si>
    <t>€ 700.000 k.k.</t>
  </si>
  <si>
    <t>2.100 m²</t>
  </si>
  <si>
    <t>1540210772-769</t>
  </si>
  <si>
    <t>Ampèrestraat 31 3553 CJ Utrecht</t>
  </si>
  <si>
    <t>58 m² 2 kamers</t>
  </si>
  <si>
    <t>1540210772-765</t>
  </si>
  <si>
    <t>Aziëlaan 662 3526 SW Utrecht</t>
  </si>
  <si>
    <t>55 m² 2 kamers</t>
  </si>
  <si>
    <t>1540210895-1128</t>
  </si>
  <si>
    <t>Paul Abrahamstraat 18 3543 JJ Utrecht</t>
  </si>
  <si>
    <t>€ 775.000 k.k.</t>
  </si>
  <si>
    <t>213 m² / 453 m² 7 kamers</t>
  </si>
  <si>
    <t>1540210875-1061</t>
  </si>
  <si>
    <t>Hooghiemstraplein 203 3514 AZ Utrecht</t>
  </si>
  <si>
    <t>101 m² / 50 m² 5 kamers</t>
  </si>
  <si>
    <t>1540210916-1184</t>
  </si>
  <si>
    <t>Vleutenseweg 381 3532 HH Utrecht</t>
  </si>
  <si>
    <t>119 m² / 120 m² 6 kamers</t>
  </si>
  <si>
    <t>1540210595-232</t>
  </si>
  <si>
    <t>Appartement (Bouwnr. 376) 3545 EA Utrecht</t>
  </si>
  <si>
    <t>€ 337.000 v.o.n.</t>
  </si>
  <si>
    <t>95 m² 3 kamers</t>
  </si>
  <si>
    <t>1540210595-236</t>
  </si>
  <si>
    <t>Rijnvliet (Bouwnr. 340) 3545 EA Utrecht</t>
  </si>
  <si>
    <t>€ 645.000 v.o.n.</t>
  </si>
  <si>
    <t>178 m² 5 kamers</t>
  </si>
  <si>
    <t>1540210682-516</t>
  </si>
  <si>
    <t>Marconistraat 8 3553 RS Utrecht</t>
  </si>
  <si>
    <t>70 m² / 124 m² 4 kamers</t>
  </si>
  <si>
    <t>1540210610-284</t>
  </si>
  <si>
    <t>Rudolf Kattnigghof 10 3543 HP Utrecht</t>
  </si>
  <si>
    <t>€ 459.500 k.k.</t>
  </si>
  <si>
    <t>151 m² 4 kamers</t>
  </si>
  <si>
    <t>1540210859-1017</t>
  </si>
  <si>
    <t>Singeldwarsstraat 34 3513 BT Utrecht</t>
  </si>
  <si>
    <t>56 m² 3 kamers</t>
  </si>
  <si>
    <t>1540210916-1182</t>
  </si>
  <si>
    <t>Satijnvlinder 45 3544 VX Utrecht</t>
  </si>
  <si>
    <t>€ 600.000 k.k.</t>
  </si>
  <si>
    <t>178 m² / 225 m² 5 kamers</t>
  </si>
  <si>
    <t>1540210626-344</t>
  </si>
  <si>
    <t>Boerhaaveplein 152 3552 CT Utrecht</t>
  </si>
  <si>
    <t>120 m² / 97 m² 5 kamers</t>
  </si>
  <si>
    <t>1540210787-811</t>
  </si>
  <si>
    <t>Giessenplein 79 3522 KG Utrecht</t>
  </si>
  <si>
    <t>83 m² / 185 m² 5 kamers</t>
  </si>
  <si>
    <t>1540210682-505</t>
  </si>
  <si>
    <t>Chopinstraat 57 3533 EL Utrecht</t>
  </si>
  <si>
    <t>€ 480.000 k.k.</t>
  </si>
  <si>
    <t>102 m² / 125 m² 4 kamers</t>
  </si>
  <si>
    <t>1540210777-773</t>
  </si>
  <si>
    <t>St.-Winfridusstraat 7 3553 SB Utrecht</t>
  </si>
  <si>
    <t>64 m² / 78 m² 3 kamers</t>
  </si>
  <si>
    <t>1540210651-415</t>
  </si>
  <si>
    <t>Gildstraat 42 3572 EP Utrecht</t>
  </si>
  <si>
    <t>€ 335.000 k.k.</t>
  </si>
  <si>
    <t>71 m² / 52 m² 3 kamers</t>
  </si>
  <si>
    <t>1540210631-355</t>
  </si>
  <si>
    <t>Geraniumstraat 42 A 3551 HD Utrecht</t>
  </si>
  <si>
    <t>1540210875-1065</t>
  </si>
  <si>
    <t>Hendrika van Tussenbroeklaan 200 3533 SZ Utrecht</t>
  </si>
  <si>
    <t>116 m² 3 kamers</t>
  </si>
  <si>
    <t>1540210859-1015</t>
  </si>
  <si>
    <t>Stadionlaan 16 3583 RE Utrecht</t>
  </si>
  <si>
    <t>€ 345.000 k.k.</t>
  </si>
  <si>
    <t>107 m² 4 kamers</t>
  </si>
  <si>
    <t>1540210859-1019</t>
  </si>
  <si>
    <t>Einsteindreef 77 3562 XT Utrecht</t>
  </si>
  <si>
    <t>98 m² 3 kamers</t>
  </si>
  <si>
    <t>1540210715-599</t>
  </si>
  <si>
    <t>Bogotadreef 22 3563 GP Utrecht</t>
  </si>
  <si>
    <t>€ 19.500 k.k.</t>
  </si>
  <si>
    <t>18 m²</t>
  </si>
  <si>
    <t>1540210787-814</t>
  </si>
  <si>
    <t>Linnaeuslaan 36 3571 TX Utrecht</t>
  </si>
  <si>
    <t>€ 569.500 k.k.</t>
  </si>
  <si>
    <t>126 m² / 138 m² 7 kamers</t>
  </si>
  <si>
    <t>1540210595-244</t>
  </si>
  <si>
    <t>Oudenoord 404 3513 EX Utrecht</t>
  </si>
  <si>
    <t>69 m² 3 kamers</t>
  </si>
  <si>
    <t>1540210834-942</t>
  </si>
  <si>
    <t>Lippizanerstraat 19 3573 SP Utrecht</t>
  </si>
  <si>
    <t>€ 435.000 k.k.</t>
  </si>
  <si>
    <t>117 m² / 59 m² 6 kamers</t>
  </si>
  <si>
    <t>1540210615-301</t>
  </si>
  <si>
    <t>Von Weberstraat 2 3533 ED Utrecht</t>
  </si>
  <si>
    <t>€ 595.000 k.k.</t>
  </si>
  <si>
    <t>135 m² / 160 m² 7 kamers</t>
  </si>
  <si>
    <t>1540210792-822</t>
  </si>
  <si>
    <t>Havikstraat 55 A 3514 TM Utrecht</t>
  </si>
  <si>
    <t>1540210782-797</t>
  </si>
  <si>
    <t>Oudwijk 47 3581 TH Utrecht</t>
  </si>
  <si>
    <t>€ 985.000 k.k.</t>
  </si>
  <si>
    <t>223 m² / 169 m² 8 kamers</t>
  </si>
  <si>
    <t>1540210828-930</t>
  </si>
  <si>
    <t>Hubert Duyfhuysstraat 26 1 3553 VW Utrecht</t>
  </si>
  <si>
    <t>€ 155.000 k.k.</t>
  </si>
  <si>
    <t>44 m² 2 kamers</t>
  </si>
  <si>
    <t>1540210726-633</t>
  </si>
  <si>
    <t>Makassarstraat 105 3531 VM Utrecht</t>
  </si>
  <si>
    <t>102 m² / 115 m² 5 kamers</t>
  </si>
  <si>
    <t>1540210687-523</t>
  </si>
  <si>
    <t>Looplantsoen 23 3523 GS Utrecht</t>
  </si>
  <si>
    <t>96 m² / 133 m² 5 kamers</t>
  </si>
  <si>
    <t>1540210916-1179</t>
  </si>
  <si>
    <t>Vlindersingel 105 3544 VC Utrecht</t>
  </si>
  <si>
    <t>127 m² / 127 m² 5 kamers</t>
  </si>
  <si>
    <t>1540210905-1159</t>
  </si>
  <si>
    <t>Mereveldseweg 13 A 3585 LH Utrecht</t>
  </si>
  <si>
    <t>€ 549.500 k.k.</t>
  </si>
  <si>
    <t>181 m² / 505 m² 8 kamers</t>
  </si>
  <si>
    <t>1540210839-960</t>
  </si>
  <si>
    <t>https://www.funda.nl/koop/utrecht/p16/</t>
  </si>
  <si>
    <t>Tigrisdreef 77 3564 GH Utrecht</t>
  </si>
  <si>
    <t>128 m² / 182 m² 6 kamers</t>
  </si>
  <si>
    <t>1540210721-610</t>
  </si>
  <si>
    <t>Smaragdplein 78 3523 ED Utrecht</t>
  </si>
  <si>
    <t>€ 235.000 k.k.</t>
  </si>
  <si>
    <t>67 m² 4 kamers</t>
  </si>
  <si>
    <t>1540210746-691</t>
  </si>
  <si>
    <t>Jutfaseweg 203 E 3522 HR Utrecht</t>
  </si>
  <si>
    <t>1540210792-823</t>
  </si>
  <si>
    <t>Wittevrouwensingel 89 3514 AL Utrecht</t>
  </si>
  <si>
    <t>€ 180.000 k.k.</t>
  </si>
  <si>
    <t>1540210834-937</t>
  </si>
  <si>
    <t>Salvador Dalístraat 40 3544 NR Utrecht</t>
  </si>
  <si>
    <t>130 m² / 200 m² 6 kamers</t>
  </si>
  <si>
    <t>1540210890-1115</t>
  </si>
  <si>
    <t>Javastraat 37 3531 PM Utrecht</t>
  </si>
  <si>
    <t>€ 189.000 k.k.</t>
  </si>
  <si>
    <t>52 m² 2 kamers</t>
  </si>
  <si>
    <t>1540210703-569</t>
  </si>
  <si>
    <t>Singelstraat 4 BIS - 8 3513 BN Utrecht</t>
  </si>
  <si>
    <t>30 m² 2 kamers</t>
  </si>
  <si>
    <t>1540210900-1145</t>
  </si>
  <si>
    <t>Fabriekstraat 34 3551 SJ Utrecht</t>
  </si>
  <si>
    <t>€ 269.500 k.k.</t>
  </si>
  <si>
    <t>79 m² / 72 m² 4 kamers</t>
  </si>
  <si>
    <t>1540210869-1052</t>
  </si>
  <si>
    <t>Nieuwe Koekoekstraat 66 3514 EH Utrecht</t>
  </si>
  <si>
    <t>62 m² 3 kamers</t>
  </si>
  <si>
    <t>1540210869-1046</t>
  </si>
  <si>
    <t>Goedestraat 103 t 3572 RP Utrecht</t>
  </si>
  <si>
    <t>€ 109.000 k.k.</t>
  </si>
  <si>
    <t>33 m² 2 kamers</t>
  </si>
  <si>
    <t>1540210726-632</t>
  </si>
  <si>
    <t>Vechtdijk 332 3563 MD Utrecht</t>
  </si>
  <si>
    <t>€ 649.000 v.o.n.</t>
  </si>
  <si>
    <t>200 m² 8 kamers</t>
  </si>
  <si>
    <t>1540210590-222</t>
  </si>
  <si>
    <t>Baanstraat 16 G 3581 VV Utrecht</t>
  </si>
  <si>
    <t>1540210715-606</t>
  </si>
  <si>
    <t>Sweder van Zuylenweg 6 3553 HE Utrecht</t>
  </si>
  <si>
    <t>€ 107.500 k.k.</t>
  </si>
  <si>
    <t>21 m² / 21 m² 1 kamer</t>
  </si>
  <si>
    <t>1540210828-926</t>
  </si>
  <si>
    <t>Van Hoornekade 189 3554 AV Utrecht</t>
  </si>
  <si>
    <t>86 m² 4 kamers</t>
  </si>
  <si>
    <t>1540210703-570</t>
  </si>
  <si>
    <t>Fregatstraat 5 3534 RA Utrecht</t>
  </si>
  <si>
    <t>103 m² / 91 m² 6 kamers</t>
  </si>
  <si>
    <t>1540210834-948</t>
  </si>
  <si>
    <t>Van Vollenhovenlaan 22 3527 JR Utrecht</t>
  </si>
  <si>
    <t>70 m² 4 kamers</t>
  </si>
  <si>
    <t>1540210708-584</t>
  </si>
  <si>
    <t>Bagdaddreef 10 3564 HA Utrecht</t>
  </si>
  <si>
    <t>114 m² / 180 m² 5 kamers</t>
  </si>
  <si>
    <t>1540210667-469</t>
  </si>
  <si>
    <t>https://www.funda.nl/koop/utrecht/p49/</t>
  </si>
  <si>
    <t>Visarendhof 8 3582 DR Utrecht</t>
  </si>
  <si>
    <t>131 m² 4 kamers</t>
  </si>
  <si>
    <t>1540210672-478</t>
  </si>
  <si>
    <t>Soestdijkstraat 41 3523 VL Utrecht</t>
  </si>
  <si>
    <t>133 m² / 138 m² 6 kamers</t>
  </si>
  <si>
    <t>1540210834-949</t>
  </si>
  <si>
    <t>Herculeslaan 58 3584 AB Utrecht</t>
  </si>
  <si>
    <t>€ 455.000 k.k.</t>
  </si>
  <si>
    <t>126 m² 3 kamers</t>
  </si>
  <si>
    <t>1540210682-502</t>
  </si>
  <si>
    <t>Parkzichtlaan 178 3544 MN Utrecht</t>
  </si>
  <si>
    <t>€ 449.000 k.k.</t>
  </si>
  <si>
    <t>152 m² / 107 m² 5 kamers</t>
  </si>
  <si>
    <t>1540210741-679</t>
  </si>
  <si>
    <t>Obrechtstraat 23 bis 3572 EB Utrecht</t>
  </si>
  <si>
    <t>€ 599.000 k.k.</t>
  </si>
  <si>
    <t>136 m² 5 kamers</t>
  </si>
  <si>
    <t>1540210844-980</t>
  </si>
  <si>
    <t>Kovelaarstraat 10 3582 GP Utrecht</t>
  </si>
  <si>
    <t>83 m² / 65 m² 5 kamers</t>
  </si>
  <si>
    <t>1540210595-243</t>
  </si>
  <si>
    <t>Jeanne d'Arcdreef 23 3561 SB Utrecht</t>
  </si>
  <si>
    <t>125 m² / 215 m² 7 kamers</t>
  </si>
  <si>
    <t>1540210808-867</t>
  </si>
  <si>
    <t>Anton Pieckhof 19 3544 MG Utrecht</t>
  </si>
  <si>
    <t>€ 539.000 k.k.</t>
  </si>
  <si>
    <t>170 m² / 175 m² 7 kamers</t>
  </si>
  <si>
    <t>1540210726-624</t>
  </si>
  <si>
    <t>De Parkwachter (Bouwnr. 39) 3541 Utrecht</t>
  </si>
  <si>
    <t>€ 599.000 v.o.n.</t>
  </si>
  <si>
    <t>134 m² 4 kamers</t>
  </si>
  <si>
    <t>1540210708-591</t>
  </si>
  <si>
    <t>Julianaweg 378 3523 XL Utrecht</t>
  </si>
  <si>
    <t>€ 445.000 k.k.</t>
  </si>
  <si>
    <t>102 m² / 99 m² 6 kamers</t>
  </si>
  <si>
    <t>1540210772-758</t>
  </si>
  <si>
    <t>Merelstraat 1 bis 3514 CL Utrecht</t>
  </si>
  <si>
    <t>€ 465.000 k.k.</t>
  </si>
  <si>
    <t>126 m² 6 kamers</t>
  </si>
  <si>
    <t>1540210636-381</t>
  </si>
  <si>
    <t>https://www.funda.nl/koop/utrecht/p55/</t>
  </si>
  <si>
    <t>Heuveloord 27 3523 CK Utrecht</t>
  </si>
  <si>
    <t>€ 1.200.000 k.k.</t>
  </si>
  <si>
    <t>308 m² / 350 m² 12 kamers</t>
  </si>
  <si>
    <t>1540210875-1062</t>
  </si>
  <si>
    <t>Albatrosstraat 30 bis 3582 EX Utrecht</t>
  </si>
  <si>
    <t>€ 299.000 k.k.</t>
  </si>
  <si>
    <t>92 m² 5 kamers</t>
  </si>
  <si>
    <t>1540210708-583</t>
  </si>
  <si>
    <t>Hellendoornseberg 14 3524 LG Utrecht</t>
  </si>
  <si>
    <t>101 m² / 140 m² 5 kamers</t>
  </si>
  <si>
    <t>1540210859-1012</t>
  </si>
  <si>
    <t>Van Lidth de Jeudestraat 2 3581 GH Utrecht</t>
  </si>
  <si>
    <t>€ 850.000 k.k.</t>
  </si>
  <si>
    <t>184 m² / 129 m² 8 kamers</t>
  </si>
  <si>
    <t>1540210677-501</t>
  </si>
  <si>
    <t>Bethlehemweg 63 3513 CW Utrecht</t>
  </si>
  <si>
    <t>84 m² / 47 m² 4 kamers</t>
  </si>
  <si>
    <t>1540210605-266</t>
  </si>
  <si>
    <t>Bellamystraat 27 bis 3514 EK Utrecht</t>
  </si>
  <si>
    <t>1540210590-226</t>
  </si>
  <si>
    <t>Händelstraat 39 3533 GG Utrecht</t>
  </si>
  <si>
    <t>€ 495.000 k.k.</t>
  </si>
  <si>
    <t>120 m² / 108 m² 8 kamers</t>
  </si>
  <si>
    <t>1540210803-856</t>
  </si>
  <si>
    <t>Abstederdijk 100 3582 BS Utrecht</t>
  </si>
  <si>
    <t>86 m² / 101 m² 4 kamers</t>
  </si>
  <si>
    <t>1540210736-656</t>
  </si>
  <si>
    <t>Oudegracht 257 B 3511 NM Utrecht</t>
  </si>
  <si>
    <t>109 m² 4 kamers</t>
  </si>
  <si>
    <t>1540210736-662</t>
  </si>
  <si>
    <t>Koningslaan 1 3583 GA Utrecht</t>
  </si>
  <si>
    <t>€ 1.495.000 k.k.</t>
  </si>
  <si>
    <t>330 m² / 230 m² 9 kamers</t>
  </si>
  <si>
    <t>1540210646-411</t>
  </si>
  <si>
    <t>Reitdiepstraat 79 3522 GG Utrecht</t>
  </si>
  <si>
    <t>92 m² 3 kamers</t>
  </si>
  <si>
    <t>1540210741-672</t>
  </si>
  <si>
    <t>F.C. Dondersstraat 42 3572 JK Utrecht</t>
  </si>
  <si>
    <t>€ 99.500 k.k.</t>
  </si>
  <si>
    <t>24 m² 2 kamers</t>
  </si>
  <si>
    <t>1540210687-519</t>
  </si>
  <si>
    <t>Melissekade 352 3544 CZ Utrecht</t>
  </si>
  <si>
    <t>92 m² 2 kamers</t>
  </si>
  <si>
    <t>1540210641-392</t>
  </si>
  <si>
    <t>Pionstraat 3 3554 EA Utrecht</t>
  </si>
  <si>
    <t>122 m² / 136 m² 6 kamers</t>
  </si>
  <si>
    <t>1540210782-789</t>
  </si>
  <si>
    <t>Dantelaan 66 3533 VE Utrecht</t>
  </si>
  <si>
    <t>€ 530.000 k.k.</t>
  </si>
  <si>
    <t>105 m² / 127 m² 5 kamers</t>
  </si>
  <si>
    <t>1540210869-1051</t>
  </si>
  <si>
    <t>Oudenoord 418 3513 EX Utrecht</t>
  </si>
  <si>
    <t>84 m² 3 kamers</t>
  </si>
  <si>
    <t>1540210621-323</t>
  </si>
  <si>
    <t>Balderikstraat 10 3553 BG Utrecht</t>
  </si>
  <si>
    <t>89 m² / 71 m² 4 kamers</t>
  </si>
  <si>
    <t>1540210792-819</t>
  </si>
  <si>
    <t>Laan van Nieuw-Guinea 146 3531 JR Utrecht</t>
  </si>
  <si>
    <t>1540210715-601</t>
  </si>
  <si>
    <t>Cartesiusweg 71 3534 BB Utrecht</t>
  </si>
  <si>
    <t>112 m² / 146 m² 4 kamers</t>
  </si>
  <si>
    <t>1540210672-485</t>
  </si>
  <si>
    <t>Smaragdhof 16 II 3523 CZ Utrecht</t>
  </si>
  <si>
    <t>52 m² 3 kamers</t>
  </si>
  <si>
    <t>1540210605-275</t>
  </si>
  <si>
    <t>Bouwnummer (Bouwnr. 12) 3541 BH Utrecht</t>
  </si>
  <si>
    <t>€ 429.500 v.o.n.</t>
  </si>
  <si>
    <t>1540210687-525</t>
  </si>
  <si>
    <t>Vleutenseweg 261 J 3532 HE Utrecht</t>
  </si>
  <si>
    <t>€ 360.000 k.k.</t>
  </si>
  <si>
    <t>106 m² 3 kamers</t>
  </si>
  <si>
    <t>1540210895-1127</t>
  </si>
  <si>
    <t>Albrecht Thaerlaan 82 3571 EJ Utrecht</t>
  </si>
  <si>
    <t>112 m² / 149 m² 6 kamers</t>
  </si>
  <si>
    <t>1540210682-506</t>
  </si>
  <si>
    <t>Seychellen 128 3524 JB Utrecht</t>
  </si>
  <si>
    <t>82 m² / 113 m² 4 kamers</t>
  </si>
  <si>
    <t>1540210782-801</t>
  </si>
  <si>
    <t>Ampèrestraat 12 3553 CL Utrecht</t>
  </si>
  <si>
    <t>€ 274.000 k.k.</t>
  </si>
  <si>
    <t>77 m² / 72 m² 5 kamers</t>
  </si>
  <si>
    <t>1540210656-441</t>
  </si>
  <si>
    <t>Bolksbeekstraat 45 3521 CN Utrecht</t>
  </si>
  <si>
    <t>€ 264.000 k.k.</t>
  </si>
  <si>
    <t>1540210818-899</t>
  </si>
  <si>
    <t>Albert van Dalsumlaan 687 3584 HP Utrecht</t>
  </si>
  <si>
    <t>93 m² 4 kamers</t>
  </si>
  <si>
    <t>1540210731-642</t>
  </si>
  <si>
    <t>Vechtdijk 374 3563 ME Utrecht</t>
  </si>
  <si>
    <t>€ 398.000 k.k.</t>
  </si>
  <si>
    <t>85 m² 3 kamers</t>
  </si>
  <si>
    <t>1540210834-940</t>
  </si>
  <si>
    <t>Adelboldstraat 32 3553 SJ Utrecht</t>
  </si>
  <si>
    <t>€ 249.500 k.k.</t>
  </si>
  <si>
    <t>94 m² / 74 m² 5 kamers</t>
  </si>
  <si>
    <t>1540210900-1137</t>
  </si>
  <si>
    <t>Nicolaas Sopingiusstraat 68 3553 TN Utrecht</t>
  </si>
  <si>
    <t>88 m² / 92 m² 5 kamers</t>
  </si>
  <si>
    <t>1540210787-816</t>
  </si>
  <si>
    <t>Derde Westerparklaan 344 3544 NH Utrecht</t>
  </si>
  <si>
    <t>€ 484.500 k.k.</t>
  </si>
  <si>
    <t>193 m² / 188 m² 6 kamers</t>
  </si>
  <si>
    <t>1540210895-1118</t>
  </si>
  <si>
    <t>Chathams 36 3524 JT Utrecht</t>
  </si>
  <si>
    <t>96 m² / 99 m² 4 kamers</t>
  </si>
  <si>
    <t>1540210682-503</t>
  </si>
  <si>
    <t>Renoirhof 4 3544 KD Utrecht</t>
  </si>
  <si>
    <t>141 m² / 115 m² 5 kamers</t>
  </si>
  <si>
    <t>1540210692-545</t>
  </si>
  <si>
    <t>Daalseweg 227 3555 SV Utrecht</t>
  </si>
  <si>
    <t>€ 698.000 k.k.</t>
  </si>
  <si>
    <t>135 m² / 344 m² 6 kamers</t>
  </si>
  <si>
    <t>1540210808-862</t>
  </si>
  <si>
    <t>W.A. Vultostraat 141 3523 TW Utrecht</t>
  </si>
  <si>
    <t>103 m² / 92 m² 5 kamers</t>
  </si>
  <si>
    <t>1540210682-510</t>
  </si>
  <si>
    <t>Franz Lehársingel 18 3543 JB Utrecht</t>
  </si>
  <si>
    <t>150 m² / 152 m² 5 kamers</t>
  </si>
  <si>
    <t>1540210859-1024</t>
  </si>
  <si>
    <t>Thomas à Kempisweg 35 II 3532 CA Utrecht</t>
  </si>
  <si>
    <t>€ 129.500 k.k.</t>
  </si>
  <si>
    <t>1540210692-543</t>
  </si>
  <si>
    <t>Prins Bernhardlaan 120 B 3555 AJ Utrecht</t>
  </si>
  <si>
    <t>1540210839-958</t>
  </si>
  <si>
    <t>Spaaklaan 141 3527 SE Utrecht</t>
  </si>
  <si>
    <t>€ 174.500 k.k.</t>
  </si>
  <si>
    <t>1540210687-520</t>
  </si>
  <si>
    <t>Jan Luykenstraat 13 3521 VB Utrecht</t>
  </si>
  <si>
    <t>108 m² / 102 m² 5 kamers</t>
  </si>
  <si>
    <t>1540210662-451</t>
  </si>
  <si>
    <t>Voorsterbeeklaan 196 3521 DG Utrecht</t>
  </si>
  <si>
    <t>1540210682-507</t>
  </si>
  <si>
    <t>Gildstraat 88 3572 ER Utrecht</t>
  </si>
  <si>
    <t>€ 268.000 k.k.</t>
  </si>
  <si>
    <t>1540210751-698</t>
  </si>
  <si>
    <t>Musketierlaan 13 3525 GX Utrecht</t>
  </si>
  <si>
    <t>€ 174.000 k.k.</t>
  </si>
  <si>
    <t>48 m² 2 kamers</t>
  </si>
  <si>
    <t>1540210880-1082</t>
  </si>
  <si>
    <t>Haverstraat 33 3511 NB Utrecht</t>
  </si>
  <si>
    <t>€ 310.000 k.k.</t>
  </si>
  <si>
    <t>1540210782-793</t>
  </si>
  <si>
    <t>Joseph Haydnlaan 61 3533 AC Utrecht</t>
  </si>
  <si>
    <t>€ 399.500 k.k.</t>
  </si>
  <si>
    <t>111 m² / 122 m² 4 kamers</t>
  </si>
  <si>
    <t>1540210880-1085</t>
  </si>
  <si>
    <t>Vondellaan 250 3521 GZ Utrecht</t>
  </si>
  <si>
    <t>€ 799.000 k.k.</t>
  </si>
  <si>
    <t>186 m² 4 kamers</t>
  </si>
  <si>
    <t>1540210667-463</t>
  </si>
  <si>
    <t>Rijnlaan 43 3522 BC Utrecht</t>
  </si>
  <si>
    <t>1540210703-567</t>
  </si>
  <si>
    <t>Oudwijk 23 EA 3581 TG Utrecht</t>
  </si>
  <si>
    <t>€ 849.000 k.k.</t>
  </si>
  <si>
    <t>172 m² 5 kamers</t>
  </si>
  <si>
    <t>1540210792-824</t>
  </si>
  <si>
    <t>San Marinostraat 135 3541 DS Utrecht</t>
  </si>
  <si>
    <t>€ 439.000 v.o.n.</t>
  </si>
  <si>
    <t>112 m² 3 kamers</t>
  </si>
  <si>
    <t>1540210849-990</t>
  </si>
  <si>
    <t>Van Egmondkade 94 bis 3553 JL Utrecht</t>
  </si>
  <si>
    <t>1540210818-905</t>
  </si>
  <si>
    <t>Richard Heubergerhof 8 3543 HZ Utrecht</t>
  </si>
  <si>
    <t>127 m² / 212 m² 4 kamers</t>
  </si>
  <si>
    <t>1540210698-557</t>
  </si>
  <si>
    <t>1540210600-261</t>
  </si>
  <si>
    <t>Rijnvliet (Bouwnr. 378) 3545 EA Utrecht</t>
  </si>
  <si>
    <t>€ 429.000 v.o.n.</t>
  </si>
  <si>
    <t>112 m² 4 kamers</t>
  </si>
  <si>
    <t>1540210854-1001</t>
  </si>
  <si>
    <t>Stadionlaan 81 3583 RC Utrecht</t>
  </si>
  <si>
    <t>1540210605-269</t>
  </si>
  <si>
    <t>Bremstraat 26 3551 TD Utrecht</t>
  </si>
  <si>
    <t>€ 279.000 k.k.</t>
  </si>
  <si>
    <t>71 m² / 59 m² 3 kamers</t>
  </si>
  <si>
    <t>1540210726-630</t>
  </si>
  <si>
    <t>Amsterdamsestraatweg 491 2. 3553 ED Utrecht</t>
  </si>
  <si>
    <t>€ 73.500 v.o.n.</t>
  </si>
  <si>
    <t>15 m² 1 kamer</t>
  </si>
  <si>
    <t>1540210823-917</t>
  </si>
  <si>
    <t>https://www.funda.nl/koop/utrecht/p19/</t>
  </si>
  <si>
    <t>Staalstraat 67 -69 3572 RH Utrecht</t>
  </si>
  <si>
    <t>€ 900.000 k.k.</t>
  </si>
  <si>
    <t>199 m² 10 kamers</t>
  </si>
  <si>
    <t>1540210828-932</t>
  </si>
  <si>
    <t>Wijde Begijnestraat 21 3512 AW Utrecht</t>
  </si>
  <si>
    <t>77 m² 4 kamers</t>
  </si>
  <si>
    <t>1540210803-849</t>
  </si>
  <si>
    <t>1e Spechtstraat 7 3514 TV Utrecht</t>
  </si>
  <si>
    <t>€ 585.000 k.k.</t>
  </si>
  <si>
    <t>120 m² / 68 m² 5 kamers</t>
  </si>
  <si>
    <t>1540210839-964</t>
  </si>
  <si>
    <t>Goedestraat 98 3572 RW Utrecht</t>
  </si>
  <si>
    <t>82 m² / 63 m² 4 kamers</t>
  </si>
  <si>
    <t>1540210905-1160</t>
  </si>
  <si>
    <t>Mereveldseweg 13 A-C 3585 LH Utrecht</t>
  </si>
  <si>
    <t>181 m² / 1.940 m² 8 kamers</t>
  </si>
  <si>
    <t>1540210864-1027</t>
  </si>
  <si>
    <t>Nieuwlichtstraat 66 3552 GZ Utrecht</t>
  </si>
  <si>
    <t>77 m² 3 kamers</t>
  </si>
  <si>
    <t>1540210595-239</t>
  </si>
  <si>
    <t>Schönberglaan (Bouwnr. 56) 3533 JC Utrecht</t>
  </si>
  <si>
    <t>€ 352.500 v.o.n.</t>
  </si>
  <si>
    <t>1540210875-1069</t>
  </si>
  <si>
    <t>Simon Vestdijkstraat 19 3544 KL Utrecht</t>
  </si>
  <si>
    <t>88 m² / 125 m² 3 kamers</t>
  </si>
  <si>
    <t>1540210605-264</t>
  </si>
  <si>
    <t>Balijelaan 39 3521 GL Utrecht</t>
  </si>
  <si>
    <t>1540210818-898</t>
  </si>
  <si>
    <t>Dirk Wittelaan 17 3584 ZZ Utrecht</t>
  </si>
  <si>
    <t>€ 699.000 k.k.</t>
  </si>
  <si>
    <t>160 m² / 254 m² 5 kamers</t>
  </si>
  <si>
    <t>1540210631-358</t>
  </si>
  <si>
    <t>Hartingstraat 274 3511 HV Utrecht</t>
  </si>
  <si>
    <t>1540210839-954</t>
  </si>
  <si>
    <t>1e Delistraat 25 3531 SL Utrecht</t>
  </si>
  <si>
    <t>73 m² / 63 m² 3 kamers</t>
  </si>
  <si>
    <t>1540210916-1191</t>
  </si>
  <si>
    <t>Emile Hullebroeckstraat 29 B 3543 BZ Utrecht</t>
  </si>
  <si>
    <t>111 m² / 108 m² 4 kamers</t>
  </si>
  <si>
    <t>1540210610-279</t>
  </si>
  <si>
    <t>Parijsboulevard 102 3541 CX Utrecht</t>
  </si>
  <si>
    <t>€ 440.000 v.o.n.</t>
  </si>
  <si>
    <t>123 m² 4 kamers</t>
  </si>
  <si>
    <t>1540210636-368</t>
  </si>
  <si>
    <t>Kemal Atatürkstraat 72 3573 PB Utrecht</t>
  </si>
  <si>
    <t>€ 497.000 k.k.</t>
  </si>
  <si>
    <t>118 m² / 151 m² 4 kamers</t>
  </si>
  <si>
    <t>1540210844-977</t>
  </si>
  <si>
    <t>Nedereindseweg 534 3546 PT Utrecht</t>
  </si>
  <si>
    <t>€ 975.000 k.k.</t>
  </si>
  <si>
    <t>297 m² / 1.012 m² 10 kamers</t>
  </si>
  <si>
    <t>1540210646-404</t>
  </si>
  <si>
    <t>Koolwitjeshof 4 3544 VH Utrecht</t>
  </si>
  <si>
    <t>€ 242.000 k.k.</t>
  </si>
  <si>
    <t>79 m² 3 kamers</t>
  </si>
  <si>
    <t>1540210636-379</t>
  </si>
  <si>
    <t>Hooft Graaflandstraat 12 A 3525 VV Utrecht</t>
  </si>
  <si>
    <t>€ 405.000 k.k.</t>
  </si>
  <si>
    <t>100 m² / 333 m² 4 kamers</t>
  </si>
  <si>
    <t>1540210859-1020</t>
  </si>
  <si>
    <t>Nedereindseweg 520 3546 PS Utrecht</t>
  </si>
  <si>
    <t>779 m² / 7.345 m² 13 kamers</t>
  </si>
  <si>
    <t>1540210911-1169</t>
  </si>
  <si>
    <t>Prof. Leonard Fuchslaan 39 3571 HE Utrecht</t>
  </si>
  <si>
    <t>132 m² / 138 m² 5 kamers</t>
  </si>
  <si>
    <t>1540210626-348</t>
  </si>
  <si>
    <t>Ray Charlesstraat 38 3543 EK Utrecht</t>
  </si>
  <si>
    <t>120 m² / 116 m² 5 kamers</t>
  </si>
  <si>
    <t>1540210880-1080</t>
  </si>
  <si>
    <t>B.F. Suermanstraat 7 3515 XK Utrecht</t>
  </si>
  <si>
    <t>1540210631-352</t>
  </si>
  <si>
    <t>Hogelanden W.Z. 86 bis 3552 AD Utrecht</t>
  </si>
  <si>
    <t>87 m² 4 kamers</t>
  </si>
  <si>
    <t>1540210916-1187</t>
  </si>
  <si>
    <t>Noordeindestraat 38 3523 VK Utrecht</t>
  </si>
  <si>
    <t>113 m² / 123 m² 7 kamers</t>
  </si>
  <si>
    <t>1540210803-857</t>
  </si>
  <si>
    <t>Looplantsoen 58 3523 GW Utrecht</t>
  </si>
  <si>
    <t>77 m² 5 kamers</t>
  </si>
  <si>
    <t>1540210869-1054</t>
  </si>
  <si>
    <t>Wilhelminapark 12 B 3581 NC Utrecht</t>
  </si>
  <si>
    <t>133 m² 3 kamers</t>
  </si>
  <si>
    <t>1540210895-1124</t>
  </si>
  <si>
    <t>David Ben Goerionstraat 10 3573 XN Utrecht</t>
  </si>
  <si>
    <t>144 m² / 275 m² 6 kamers</t>
  </si>
  <si>
    <t>1540210911-1175</t>
  </si>
  <si>
    <t>Oudegracht 269 B 3511 NN Utrecht</t>
  </si>
  <si>
    <t>1540210813-881</t>
  </si>
  <si>
    <t>Vleutenseweg 261 A 3532 HE Utrecht</t>
  </si>
  <si>
    <t>1540210751-707</t>
  </si>
  <si>
    <t>Nieuwe Keizersgracht 30 3514 TX Utrecht</t>
  </si>
  <si>
    <t>1540210651-413</t>
  </si>
  <si>
    <t>Kweekstraat 2 3581 WH Utrecht</t>
  </si>
  <si>
    <t>83 m² / 44 m² 4 kamers</t>
  </si>
  <si>
    <t>1540210772-759</t>
  </si>
  <si>
    <t>Royaards van den Hamkade 233 3552 CL Utrecht</t>
  </si>
  <si>
    <t>1540210715-602</t>
  </si>
  <si>
    <t>Greenville (Bouwnr. 34) 3541 DZ Utrecht</t>
  </si>
  <si>
    <t>€ 500.500 v.o.n.</t>
  </si>
  <si>
    <t>132 m² 4 kamers</t>
  </si>
  <si>
    <t>1540210610-287</t>
  </si>
  <si>
    <t>Oudwijkerdwarsstraat 65 Bis 3581 LB Utrecht</t>
  </si>
  <si>
    <t>€ 499.000 k.k.</t>
  </si>
  <si>
    <t>111 m² 4 kamers</t>
  </si>
  <si>
    <t>1540210736-663</t>
  </si>
  <si>
    <t>Prof. Jordanlaan 46 3571 KB Utrecht</t>
  </si>
  <si>
    <t>151 m² / 165 m² 9 kamers</t>
  </si>
  <si>
    <t>1540210864-1038</t>
  </si>
  <si>
    <t>Lange Jufferstraat 36 3512 EE Utrecht</t>
  </si>
  <si>
    <t>86 m² / 64 m² 5 kamers</t>
  </si>
  <si>
    <t>1540210792-828</t>
  </si>
  <si>
    <t>Bankastraat 19 B 3531 HG Utrecht</t>
  </si>
  <si>
    <t>1540210905-1153</t>
  </si>
  <si>
    <t>Juliusstraat 1 3514 HX Utrecht</t>
  </si>
  <si>
    <t>€ 369.000 k.k.</t>
  </si>
  <si>
    <t>1540210736-659</t>
  </si>
  <si>
    <t>Ramstraat 12 3581 HJ Utrecht</t>
  </si>
  <si>
    <t>€ 1.395.000 k.k.</t>
  </si>
  <si>
    <t>300 m² / 146 m² 11 kamers</t>
  </si>
  <si>
    <t>1540210875-1063</t>
  </si>
  <si>
    <t>Briljantlaan 92 3523 CH Utrecht</t>
  </si>
  <si>
    <t>89 m² 6 kamers</t>
  </si>
  <si>
    <t>1540210631-353</t>
  </si>
  <si>
    <t>Fortunadreef 13 3561 EA Utrecht</t>
  </si>
  <si>
    <t>1540210757-722</t>
  </si>
  <si>
    <t>Hopakker 5 BIS 3514 BS Utrecht</t>
  </si>
  <si>
    <t>1540210736-657</t>
  </si>
  <si>
    <t>Wenenpromenade 28 3541 DG Utrecht</t>
  </si>
  <si>
    <t>67 m² 3 kamers</t>
  </si>
  <si>
    <t>1540210726-629</t>
  </si>
  <si>
    <t>Bakhuizen van den Brinkstraat 2 2 3532 GE Utrecht</t>
  </si>
  <si>
    <t>€ 95.000 v.o.n.</t>
  </si>
  <si>
    <t>1540210916-1189</t>
  </si>
  <si>
    <t>Dantelaan 81 3533 VB Utrecht</t>
  </si>
  <si>
    <t>€ 565.000 k.k.</t>
  </si>
  <si>
    <t>118 m² / 126 m² 6 kamers</t>
  </si>
  <si>
    <t>1540210854-1005</t>
  </si>
  <si>
    <t>Begijnekade 9 3512 VV Utrecht</t>
  </si>
  <si>
    <t>218 m² / 87 m² 6 kamers</t>
  </si>
  <si>
    <t>1540210900-1132</t>
  </si>
  <si>
    <t>Abel Tasmanstraat 7 c 3531 GR Utrecht</t>
  </si>
  <si>
    <t>102 m² / 75 m² 4 kamers</t>
  </si>
  <si>
    <t>1540210905-1154</t>
  </si>
  <si>
    <t>Plantage 128 3551 DK Utrecht</t>
  </si>
  <si>
    <t>78 m² 3 kamers</t>
  </si>
  <si>
    <t>1540210767-756</t>
  </si>
  <si>
    <t>Prinses Ireneplateau 69 3554 HW Utrecht</t>
  </si>
  <si>
    <t>€ 226.500 k.k.</t>
  </si>
  <si>
    <t>60 m² 3 kamers</t>
  </si>
  <si>
    <t>1540210777-781</t>
  </si>
  <si>
    <t>Nieuwegracht 15 3512 LC Utrecht</t>
  </si>
  <si>
    <t>€ 1.775.000 k.k.</t>
  </si>
  <si>
    <t>399 m² / 196 m² 15 kamers</t>
  </si>
  <si>
    <t>1540210823-912</t>
  </si>
  <si>
    <t>Ridderlaan 39 I 3523 HS Utrecht</t>
  </si>
  <si>
    <t>1540210864-1035</t>
  </si>
  <si>
    <t>Groenestraat 110 3512 PV Utrecht</t>
  </si>
  <si>
    <t>€ 930.000 k.k.</t>
  </si>
  <si>
    <t>191 m² 7 kamers</t>
  </si>
  <si>
    <t>1540210677-497</t>
  </si>
  <si>
    <t>Fregatstraat 143 3534 RD Utrecht</t>
  </si>
  <si>
    <t>81 m² / 94 m² 5 kamers</t>
  </si>
  <si>
    <t>1540210849-989</t>
  </si>
  <si>
    <t>Jadelaan 36 3523 CV Utrecht</t>
  </si>
  <si>
    <t>€ 239.000 k.k.</t>
  </si>
  <si>
    <t>1540210605-265</t>
  </si>
  <si>
    <t>Bellamystraat 27 3514 EK Utrecht</t>
  </si>
  <si>
    <t>1540210885-1089</t>
  </si>
  <si>
    <t>Barnsteenlaan 49 I 3523 BB Utrecht</t>
  </si>
  <si>
    <t>81 m² 4 kamers</t>
  </si>
  <si>
    <t>1540210798-832</t>
  </si>
  <si>
    <t>Willem Barentszstraat 19 3572 PA Utrecht</t>
  </si>
  <si>
    <t>€ 1.250.000 k.k.</t>
  </si>
  <si>
    <t>247 m² / 161 m² 9 kamers</t>
  </si>
  <si>
    <t>1540210828-925</t>
  </si>
  <si>
    <t>Euterpedreef 60 3561 CW Utrecht</t>
  </si>
  <si>
    <t>€ 142.500 k.k.</t>
  </si>
  <si>
    <t>1540210854-1010</t>
  </si>
  <si>
    <t>Rooseveltlaan 456 3527 AR Utrecht</t>
  </si>
  <si>
    <t>82 m² 4 kamers</t>
  </si>
  <si>
    <t>1540210672-472</t>
  </si>
  <si>
    <t>Beverstraat 32 3513 AR Utrecht</t>
  </si>
  <si>
    <t>92 m² / 57 m² 4 kamers</t>
  </si>
  <si>
    <t>1540210792-826</t>
  </si>
  <si>
    <t>Prinses Margrietstraat 98 bis 3554 GJ Utrecht</t>
  </si>
  <si>
    <t>€ 227.500 k.k.</t>
  </si>
  <si>
    <t>82 m² 3 kamers</t>
  </si>
  <si>
    <t>1540210687-518</t>
  </si>
  <si>
    <t>Pretoriadreef 16 3564 BX Utrecht</t>
  </si>
  <si>
    <t>1540210813-878</t>
  </si>
  <si>
    <t>Kapelstraat 102 3572 CP Utrecht</t>
  </si>
  <si>
    <t>122 m² / 92 m² 3 kamers</t>
  </si>
  <si>
    <t>1540210746-694</t>
  </si>
  <si>
    <t>Briljantlaan 46 3523 CG Utrecht</t>
  </si>
  <si>
    <t>82 m² 6 kamers</t>
  </si>
  <si>
    <t>1540210656-429</t>
  </si>
  <si>
    <t>Bijleveldstraat 20 3521 EM Utrecht</t>
  </si>
  <si>
    <t>110 m² / 88 m² 5 kamers</t>
  </si>
  <si>
    <t>1540210682-511</t>
  </si>
  <si>
    <t>Ravellaan 202 3533 JP Utrecht</t>
  </si>
  <si>
    <t>83 m² 3 kamers</t>
  </si>
  <si>
    <t>1540210911-1167</t>
  </si>
  <si>
    <t>Eschersingel 3 a 3544 ML Utrecht</t>
  </si>
  <si>
    <t>€ 1.375.000 k.k.</t>
  </si>
  <si>
    <t>349 m² / 2.070 m² 11 kamers</t>
  </si>
  <si>
    <t>1540210834-939</t>
  </si>
  <si>
    <t>Cremerstraat 278 3532 BN Utrecht</t>
  </si>
  <si>
    <t>€ 319.500 k.k.</t>
  </si>
  <si>
    <t>1540210895-1123</t>
  </si>
  <si>
    <t>Urlusstraat 29 3533 SM Utrecht</t>
  </si>
  <si>
    <t>€ 439.000 k.k.</t>
  </si>
  <si>
    <t>101 m² / 134 m² 5 kamers</t>
  </si>
  <si>
    <t>1540210726-625</t>
  </si>
  <si>
    <t>De Parkwachter (Bouwnr. 5) 3541 Utrecht</t>
  </si>
  <si>
    <t>€ 525.000 v.o.n.</t>
  </si>
  <si>
    <t>142 m² 3 kamers</t>
  </si>
  <si>
    <t>1540210757-724</t>
  </si>
  <si>
    <t>Lepelaarstraat 21 3582 SL Utrecht</t>
  </si>
  <si>
    <t>51 m² 2 kamers</t>
  </si>
  <si>
    <t>1540210808-864</t>
  </si>
  <si>
    <t>Amstelstraat 6 A 3522 CR Utrecht</t>
  </si>
  <si>
    <t>133 m² / 95 m² 7 kamers</t>
  </si>
  <si>
    <t>1540210798-842</t>
  </si>
  <si>
    <t>H. Copijnlaan 17 3571 VG Utrecht</t>
  </si>
  <si>
    <t>119 m² / 134 m² 6 kamers</t>
  </si>
  <si>
    <t>1540210641-389</t>
  </si>
  <si>
    <t>Joseph Haydnlaan 33 3533 AB Utrecht</t>
  </si>
  <si>
    <t>103 m² / 115 m² 5 kamers</t>
  </si>
  <si>
    <t>1540210703-564</t>
  </si>
  <si>
    <t>Hartingstraat 264 3511 HV Utrecht</t>
  </si>
  <si>
    <t>90 m² 3 kamers</t>
  </si>
  <si>
    <t>1540210772-766</t>
  </si>
  <si>
    <t>Paramaribostraat 83 3531 KR Utrecht</t>
  </si>
  <si>
    <t>83 m² 5 kamers</t>
  </si>
  <si>
    <t>1540210823-921</t>
  </si>
  <si>
    <t>Van den Boschstraat 3 3531 GK Utrecht</t>
  </si>
  <si>
    <t>93 m² / 97 m² 3 kamers</t>
  </si>
  <si>
    <t>1540210839-956</t>
  </si>
  <si>
    <t>Utrechtseweg 41 3544 NA Utrecht</t>
  </si>
  <si>
    <t>112 m² / 1.460 m² 5 kamers</t>
  </si>
  <si>
    <t>1540210772-764</t>
  </si>
  <si>
    <t>Tolsteegplantsoen 18 II 3523 AE Utrecht</t>
  </si>
  <si>
    <t>1540210687-529</t>
  </si>
  <si>
    <t>Vlechtdraadhof 2 3525 BS Utrecht</t>
  </si>
  <si>
    <t>110 m² / 80 m² 6 kamers</t>
  </si>
  <si>
    <t>1540210772-760</t>
  </si>
  <si>
    <t>Moezeldreef 315 3561 GD Utrecht</t>
  </si>
  <si>
    <t>61 m² 2 kamers</t>
  </si>
  <si>
    <t>1540210651-417</t>
  </si>
  <si>
    <t>Spuistraat 1 3522 XC Utrecht</t>
  </si>
  <si>
    <t>1540210672-475</t>
  </si>
  <si>
    <t>Stephen Sondheimhof 17 3543 DT Utrecht</t>
  </si>
  <si>
    <t>150 m² / 240 m² 5 kamers</t>
  </si>
  <si>
    <t>1540210636-367</t>
  </si>
  <si>
    <t>Prof. Pullelaan 51 3571 JC Utrecht</t>
  </si>
  <si>
    <t>1540210636-370</t>
  </si>
  <si>
    <t>Arnodreef 14 3561 GL Utrecht</t>
  </si>
  <si>
    <t>85 m² / 183 m² 4 kamers</t>
  </si>
  <si>
    <t>1540210651-422</t>
  </si>
  <si>
    <t>Abstederdijk 81 3582 BC Utrecht</t>
  </si>
  <si>
    <t>80 m² / 99 m² 4 kamers</t>
  </si>
  <si>
    <t>1540210900-1136</t>
  </si>
  <si>
    <t>Zandhofsestraat 146 3572 GL Utrecht</t>
  </si>
  <si>
    <t>57 m² / 48 m² 4 kamers</t>
  </si>
  <si>
    <t>1540210708-578</t>
  </si>
  <si>
    <t>The Nature (Bouwnr. 50) 3541 BH Utrecht</t>
  </si>
  <si>
    <t>€ 542.700 v.o.n.</t>
  </si>
  <si>
    <t>116 m² 4 kamers</t>
  </si>
  <si>
    <t>1540210869-1047</t>
  </si>
  <si>
    <t>Pedro Luis Briónstraat 89 3573 BV Utrecht</t>
  </si>
  <si>
    <t>126 m² / 140 m² 5 kamers</t>
  </si>
  <si>
    <t>1540210864-1031</t>
  </si>
  <si>
    <t>Breedstraat 1 3512 TS Utrecht</t>
  </si>
  <si>
    <t>€ 1.290.000 k.k.</t>
  </si>
  <si>
    <t>168 m² / 84 m² 6 kamers</t>
  </si>
  <si>
    <t>1540210741-677</t>
  </si>
  <si>
    <t>Bessemerlaan 95 3553 GB Utrecht</t>
  </si>
  <si>
    <t>135 m² / 242 m² 5 kamers</t>
  </si>
  <si>
    <t>1540210595-235</t>
  </si>
  <si>
    <t>Nedereindseweg 541 kavel B 3546 PN Utrecht</t>
  </si>
  <si>
    <t>€ 625.000 k.k.</t>
  </si>
  <si>
    <t>1.950 m²</t>
  </si>
  <si>
    <t>1540210715-598</t>
  </si>
  <si>
    <t>Zandhofsestraat 103 3572 GD Utrecht</t>
  </si>
  <si>
    <t>131 m² / 109 m² 5 kamers</t>
  </si>
  <si>
    <t>1540210692-537</t>
  </si>
  <si>
    <t>Van Hoornekade 1 B 3554 AR Utrecht</t>
  </si>
  <si>
    <t>1540210905-1150</t>
  </si>
  <si>
    <t>Poortstraat 58 G 3572 HL Utrecht</t>
  </si>
  <si>
    <t>1540210823-909</t>
  </si>
  <si>
    <t>399 m² / 196 m² 16 kamers</t>
  </si>
  <si>
    <t>1540210651-419</t>
  </si>
  <si>
    <t>Marislaan 9 3582 HD Utrecht</t>
  </si>
  <si>
    <t>125 m² / 178 m² 6 kamers</t>
  </si>
  <si>
    <t>1540210731-648</t>
  </si>
  <si>
    <t>Kwartelstraat 48 bis 3514 EX Utrecht</t>
  </si>
  <si>
    <t>103 m² 4 kamers</t>
  </si>
  <si>
    <t>1540210626-350</t>
  </si>
  <si>
    <t>Keizerstraat 17 3512 EA Utrecht</t>
  </si>
  <si>
    <t>€ 287.500 k.k.</t>
  </si>
  <si>
    <t>52 m² / 32 m² 4 kamers</t>
  </si>
  <si>
    <t>1540210651-414</t>
  </si>
  <si>
    <t>Johannes Camphuysstraat 67 3531 SE Utrecht</t>
  </si>
  <si>
    <t>€ 229.000 k.k.</t>
  </si>
  <si>
    <t>1540210677-498</t>
  </si>
  <si>
    <t>Drielenborchdreef 13 A 3562 CR Utrecht</t>
  </si>
  <si>
    <t>106 m² / 104 m² 3 kamers</t>
  </si>
  <si>
    <t>1540210869-1044</t>
  </si>
  <si>
    <t>Lessinglaan 79 3533 AT Utrecht</t>
  </si>
  <si>
    <t>182 m² / 150 m² 7 kamers</t>
  </si>
  <si>
    <t>1540210746-687</t>
  </si>
  <si>
    <t>Broerestraat 3 3532 CP Utrecht</t>
  </si>
  <si>
    <t>97 m² / 135 m² 5 kamers</t>
  </si>
  <si>
    <t>1540210762-736</t>
  </si>
  <si>
    <t>Govert Flinckstraat 15 3583 RK Utrecht</t>
  </si>
  <si>
    <t>75 m² / 118 m² 4 kamers</t>
  </si>
  <si>
    <t>1540210869-1050</t>
  </si>
  <si>
    <t>Visarendhof 17 3582 DR Utrecht</t>
  </si>
  <si>
    <t>€ 580.000 k.k.</t>
  </si>
  <si>
    <t>127 m² / 127 m² 4 kamers</t>
  </si>
  <si>
    <t>1540210646-403</t>
  </si>
  <si>
    <t>Jansveld 22 A 3512 BG Utrecht</t>
  </si>
  <si>
    <t>140 m² 5 kamers</t>
  </si>
  <si>
    <t>1540210895-1131</t>
  </si>
  <si>
    <t>Koningsweg 123 3582 GD Utrecht</t>
  </si>
  <si>
    <t>€ 498.000 k.k.</t>
  </si>
  <si>
    <t>126 m² / 105 m² 5 kamers</t>
  </si>
  <si>
    <t>1540210636-377</t>
  </si>
  <si>
    <t>Galvanistraat 44 3553 RE Utrecht</t>
  </si>
  <si>
    <t>56 m² / 79 m² 3 kamers</t>
  </si>
  <si>
    <t>1540210667-457</t>
  </si>
  <si>
    <t>Amerikalaan 691 3526 VZ Utrecht</t>
  </si>
  <si>
    <t>1540210890-1116</t>
  </si>
  <si>
    <t>Rachmaninoffplantsoen 46 3533 JX Utrecht</t>
  </si>
  <si>
    <t>1540210646-399</t>
  </si>
  <si>
    <t>Magnoliastraat 11 3551 GR Utrecht</t>
  </si>
  <si>
    <t>58 m² 3 kamers</t>
  </si>
  <si>
    <t>1540210708-581</t>
  </si>
  <si>
    <t>Amazonedreef 32 A 3563 CB Utrecht</t>
  </si>
  <si>
    <t>€ 20.000 k.k.</t>
  </si>
  <si>
    <t>17 m²</t>
  </si>
  <si>
    <t>1540210662-455</t>
  </si>
  <si>
    <t>Werner Helmichstraat 54 3553 JZ Utrecht</t>
  </si>
  <si>
    <t>€ 359.000 k.k.</t>
  </si>
  <si>
    <t>102 m² / 99 m² 5 kamers</t>
  </si>
  <si>
    <t>1540210703-576</t>
  </si>
  <si>
    <t>Rijnvliet (Bouwnr. 377) 3545 EA Utrecht</t>
  </si>
  <si>
    <t>€ 329.000 v.o.n.</t>
  </si>
  <si>
    <t>94 m² 3 kamers</t>
  </si>
  <si>
    <t>1540210767-748</t>
  </si>
  <si>
    <t>Hijmans van den Berghlaan 104 3571 PD Utrecht</t>
  </si>
  <si>
    <t>1540210911-1168</t>
  </si>
  <si>
    <t>Maliebaan 43 3581 CD Utrecht</t>
  </si>
  <si>
    <t>€ 2.000.000 k.k.</t>
  </si>
  <si>
    <t>432 m² / 530 m² 13 kamers</t>
  </si>
  <si>
    <t>1540210626-346</t>
  </si>
  <si>
    <t>Leonard Bernsteinkade 28 3543 CC Utrecht</t>
  </si>
  <si>
    <t>190 m² / 140 m² 6 kamers</t>
  </si>
  <si>
    <t>1540210726-631</t>
  </si>
  <si>
    <t>Sigmund Rombergstraat 44 3543 GC Utrecht</t>
  </si>
  <si>
    <t>€ 749.000 k.k.</t>
  </si>
  <si>
    <t>240 m² / 457 m² 6 kamers</t>
  </si>
  <si>
    <t>1540210823-913</t>
  </si>
  <si>
    <t>Luzernevlinder 95 3544 DK Utrecht</t>
  </si>
  <si>
    <t>1540210610-278</t>
  </si>
  <si>
    <t>Van Bijnkershoeklaan 349 3527 XJ Utrecht</t>
  </si>
  <si>
    <t>1540210672-477</t>
  </si>
  <si>
    <t>Vergiliuslaan 16 3584 AM Utrecht</t>
  </si>
  <si>
    <t>€ 1.285.000 k.k.</t>
  </si>
  <si>
    <t>235 m² / 733 m² 9 kamers</t>
  </si>
  <si>
    <t>1540210703-572</t>
  </si>
  <si>
    <t>Krijtstraat 2 3572 TN Utrecht</t>
  </si>
  <si>
    <t>95 m² / 60 m² 4 kamers</t>
  </si>
  <si>
    <t>1540210834-951</t>
  </si>
  <si>
    <t>Karel Doormanlaan 156 3572 NR Utrecht</t>
  </si>
  <si>
    <t>101 m² 3 kamers</t>
  </si>
  <si>
    <t>1540210900-1140</t>
  </si>
  <si>
    <t>Bakemastraat 11 3544 MT Utrecht</t>
  </si>
  <si>
    <t>164 m² / 215 m² 5 kamers</t>
  </si>
  <si>
    <t>1540210823-914</t>
  </si>
  <si>
    <t>Busken Huetstraat 116 3532 GV Utrecht</t>
  </si>
  <si>
    <t>1540210610-288</t>
  </si>
  <si>
    <t>Verenigingstraat 39 3515 GG Utrecht</t>
  </si>
  <si>
    <t>€ 309.000 k.k.</t>
  </si>
  <si>
    <t>76 m² / 85 m² 3 kamers</t>
  </si>
  <si>
    <t>1540210662-444</t>
  </si>
  <si>
    <t>Draaiweg 2 E 3515 EM Utrecht</t>
  </si>
  <si>
    <t>1540210849-993</t>
  </si>
  <si>
    <t>Baron van Heemstrastraat 3 3525 VT Utrecht</t>
  </si>
  <si>
    <t>126 m² / 120 m² 7 kamers</t>
  </si>
  <si>
    <t>1540210721-614</t>
  </si>
  <si>
    <t>Jan Pieterszoon Coenstraat 123 bis 3531 ES Utrecht</t>
  </si>
  <si>
    <t>110 m² 3 kamers</t>
  </si>
  <si>
    <t>1540210818-906</t>
  </si>
  <si>
    <t>Livarstraat 55 3573 SB Utrecht</t>
  </si>
  <si>
    <t>212 m² / 148 m² 8 kamers</t>
  </si>
  <si>
    <t>1540210823-918</t>
  </si>
  <si>
    <t>Oudenoord 522 3513 EX Utrecht</t>
  </si>
  <si>
    <t>50 m² 2 kamers</t>
  </si>
  <si>
    <t>1540210621-322</t>
  </si>
  <si>
    <t>F. Koolhovenstraat 21 3555 VE Utrecht</t>
  </si>
  <si>
    <t>65 m² / 92 m² 4 kamers</t>
  </si>
  <si>
    <t>1540210662-454</t>
  </si>
  <si>
    <t>Prinses Irenelaan 103 3554 HD Utrecht</t>
  </si>
  <si>
    <t>104 m² / 122 m² 4 kamers</t>
  </si>
  <si>
    <t>1540210854-1000</t>
  </si>
  <si>
    <t>C. van Maasdijkstraat 148 3555 VP Utrecht</t>
  </si>
  <si>
    <t>54 m² 2 kamers</t>
  </si>
  <si>
    <t>1540210818-893</t>
  </si>
  <si>
    <t>Tweede Westerparklaan 140 3544 VR Utrecht</t>
  </si>
  <si>
    <t>149 m² / 186 m² 5 kamers</t>
  </si>
  <si>
    <t>1540210839-957</t>
  </si>
  <si>
    <t>Vleutenseweg 417 3532 HJ Utrecht</t>
  </si>
  <si>
    <t>€ 489.500 k.k.</t>
  </si>
  <si>
    <t>127 m² / 120 m² 6 kamers</t>
  </si>
  <si>
    <t>1540210698-556</t>
  </si>
  <si>
    <t>Mereveldseweg 13 C 3585 LH Utrecht</t>
  </si>
  <si>
    <t>1.435 m²</t>
  </si>
  <si>
    <t>1540210875-1059</t>
  </si>
  <si>
    <t>Zeeltstraat 12 3525 TG Utrecht</t>
  </si>
  <si>
    <t>€ 390.000 k.k.</t>
  </si>
  <si>
    <t>106 m² / 161 m² 6 kamers</t>
  </si>
  <si>
    <t>1540210767-745</t>
  </si>
  <si>
    <t>Voorstraat 65 B 3512 AK Utrecht</t>
  </si>
  <si>
    <t>1540210762-729</t>
  </si>
  <si>
    <t>Beverstraat 13 3513 AN Utrecht</t>
  </si>
  <si>
    <t>103 m² / 77 m² 5 kamers</t>
  </si>
  <si>
    <t>1540210656-434</t>
  </si>
  <si>
    <t>Aureliahof 8 3544 VE Utrecht</t>
  </si>
  <si>
    <t>120 m² 4 kamers</t>
  </si>
  <si>
    <t>1540210615-300</t>
  </si>
  <si>
    <t>Wolff en Dekenplein 2 - 3 3532 XH Utrecht</t>
  </si>
  <si>
    <t>130 m² / 63 m² 5 kamers</t>
  </si>
  <si>
    <t>1540210792-827</t>
  </si>
  <si>
    <t>Marnixlaan 240 G 3552 HK Utrecht</t>
  </si>
  <si>
    <t>1540210610-283</t>
  </si>
  <si>
    <t>Frederikastraat 5 3572 CR Utrecht</t>
  </si>
  <si>
    <t>63 m² / 44 m² 3 kamers</t>
  </si>
  <si>
    <t>1540210621-332</t>
  </si>
  <si>
    <t>Otterstraat 102 3513 CP Utrecht</t>
  </si>
  <si>
    <t>79 m² 4 kamers</t>
  </si>
  <si>
    <t>1540210849-988</t>
  </si>
  <si>
    <t>Bremstraat 94 3551 TG Utrecht</t>
  </si>
  <si>
    <t>65 m² / 61 m² 3 kamers</t>
  </si>
  <si>
    <t>1540210777-774</t>
  </si>
  <si>
    <t>Simon Vestdijkstraat 17 3544 KL Utrecht</t>
  </si>
  <si>
    <t>94 m² / 125 m² 4 kamers</t>
  </si>
  <si>
    <t>1540210772-757</t>
  </si>
  <si>
    <t>Plesmanlaan 56 I 3555 AP Utrecht</t>
  </si>
  <si>
    <t>1540210757-714</t>
  </si>
  <si>
    <t>Patrimoniumstraat 45 3555 GL Utrecht</t>
  </si>
  <si>
    <t>83 m² / 121 m² 4 kamers</t>
  </si>
  <si>
    <t>1540210687-521</t>
  </si>
  <si>
    <t>Gijsbrecht van Walenborchstraat 22 3515 BT Utrecht</t>
  </si>
  <si>
    <t>123 m² / 119 m² 5 kamers</t>
  </si>
  <si>
    <t>1540210656-437</t>
  </si>
  <si>
    <t>Hogelanden W.Z. 84 3552 AD Utrecht</t>
  </si>
  <si>
    <t>88 m² 6 kamers</t>
  </si>
  <si>
    <t>1540210828-927</t>
  </si>
  <si>
    <t>St.-Winfridusstraat 54 BIS 3553 SG Utrecht</t>
  </si>
  <si>
    <t>88 m² 4 kamers</t>
  </si>
  <si>
    <t>1540210746-682</t>
  </si>
  <si>
    <t>Johan de Meesterstraat 83 3532 EJ Utrecht</t>
  </si>
  <si>
    <t>€ 357.000 k.k.</t>
  </si>
  <si>
    <t>1540210667-458</t>
  </si>
  <si>
    <t>Oudegracht 382 G 3511 PR Utrecht</t>
  </si>
  <si>
    <t>1540210646-400</t>
  </si>
  <si>
    <t>Jaap Edendreef 126 3562 AX Utrecht</t>
  </si>
  <si>
    <t>1540210605-267</t>
  </si>
  <si>
    <t>Boomstraat 42 3582 KS Utrecht</t>
  </si>
  <si>
    <t>1540210667-468</t>
  </si>
  <si>
    <t>Herman Modedstraat 25 3553 VK Utrecht</t>
  </si>
  <si>
    <t>112 m² / 90 m² 6 kamers</t>
  </si>
  <si>
    <t>1540210813-882</t>
  </si>
  <si>
    <t>Orchideestraat 27 B 3551 GH Utrecht</t>
  </si>
  <si>
    <t>1540210715-593</t>
  </si>
  <si>
    <t>Amsterdamsestraatweg 683 3555 HC Utrecht</t>
  </si>
  <si>
    <t>€ 75.000 v.o.n.</t>
  </si>
  <si>
    <t>17 m² 2 kamers</t>
  </si>
  <si>
    <t>1540210828-934</t>
  </si>
  <si>
    <t>Doelenstraat 3 E 3512 XJ Utrecht</t>
  </si>
  <si>
    <t>1540210631-354</t>
  </si>
  <si>
    <t>Veeartsenijstraat 173 3572 DJ Utrecht</t>
  </si>
  <si>
    <t>80 m² 4 kamers</t>
  </si>
  <si>
    <t>1540210615-306</t>
  </si>
  <si>
    <t>Floris Heermalestraat 15 BIS 3514 VV Utrecht</t>
  </si>
  <si>
    <t>102 m² 5 kamers</t>
  </si>
  <si>
    <t>1540210911-1170</t>
  </si>
  <si>
    <t>Brucknerlaan 68 - 70 3533 KG Utrecht</t>
  </si>
  <si>
    <t>150 m² / 155 m² 5 kamers</t>
  </si>
  <si>
    <t>1540210641-390</t>
  </si>
  <si>
    <t>Daalseweg 70 3555 SW Utrecht</t>
  </si>
  <si>
    <t>86 m² / 172 m² 5 kamers</t>
  </si>
  <si>
    <t>1540210692-536</t>
  </si>
  <si>
    <t>Transvaaldreef 41 3564 BW Utrecht</t>
  </si>
  <si>
    <t>137 m² / 63 m² 5 kamers</t>
  </si>
  <si>
    <t>1540210854-997</t>
  </si>
  <si>
    <t>Torreslaan 37 3526 EZ Utrecht</t>
  </si>
  <si>
    <t>53 m² 3 kamers</t>
  </si>
  <si>
    <t>1540210813-877</t>
  </si>
  <si>
    <t>Oudegracht 193 3511 NG Utrecht</t>
  </si>
  <si>
    <t>€ 1.700.000 k.k.</t>
  </si>
  <si>
    <t>375 m² / 136 m² 7 kamers</t>
  </si>
  <si>
    <t>1540210708-577</t>
  </si>
  <si>
    <t>Bremstraat 31 3 3551 TA Utrecht</t>
  </si>
  <si>
    <t>1540210600-259</t>
  </si>
  <si>
    <t>Moezeldreef 189 3561 GB Utrecht</t>
  </si>
  <si>
    <t>€ 168.000 k.k.</t>
  </si>
  <si>
    <t>1540210626-343</t>
  </si>
  <si>
    <t>Adriaan van Bergenstraat 11 3554 VB Utrecht</t>
  </si>
  <si>
    <t>112 m² / 102 m² 4 kamers</t>
  </si>
  <si>
    <t>1540210875-1064</t>
  </si>
  <si>
    <t>Wanninkhoflaan 71 3526 XN Utrecht</t>
  </si>
  <si>
    <t>87 m² 3 kamers</t>
  </si>
  <si>
    <t>1540210911-1163</t>
  </si>
  <si>
    <t>Roy Eldridgepad 6 3543 GZ Utrecht</t>
  </si>
  <si>
    <t>€ 479.500 k.k.</t>
  </si>
  <si>
    <t>136 m² / 126 m² 6 kamers</t>
  </si>
  <si>
    <t>1540210677-488</t>
  </si>
  <si>
    <t>1540210823-907</t>
  </si>
  <si>
    <t>Bremstraat 21 3551 TA Utrecht</t>
  </si>
  <si>
    <t>72 m² / 55 m² 5 kamers</t>
  </si>
  <si>
    <t>1540210746-688</t>
  </si>
  <si>
    <t>Burt Bacharachstraat 2 3543 DE Utrecht</t>
  </si>
  <si>
    <t>120 m² / 162 m² 5 kamers</t>
  </si>
  <si>
    <t>1540210646-408</t>
  </si>
  <si>
    <t>New Yorkdreef 27 3564 KE Utrecht</t>
  </si>
  <si>
    <t>€ 152.500 k.k.</t>
  </si>
  <si>
    <t>1540210772-762</t>
  </si>
  <si>
    <t>Linschotensingel 1 G A 3525 XA Utrecht</t>
  </si>
  <si>
    <t>1540210869-1056</t>
  </si>
  <si>
    <t>Einsteindreef 45 B 3562 XS Utrecht</t>
  </si>
  <si>
    <t>€ 290.000 k.k.</t>
  </si>
  <si>
    <t>1540210787-807</t>
  </si>
  <si>
    <t>Constant Erzeijstraat 42 3523 VW Utrecht</t>
  </si>
  <si>
    <t>146 m² / 141 m² 6 kamers</t>
  </si>
  <si>
    <t>1540210757-716</t>
  </si>
  <si>
    <t>Kapteynlaan 39 3571 XK Utrecht</t>
  </si>
  <si>
    <t>€ 229.500 k.k.</t>
  </si>
  <si>
    <t>1540210875-1066</t>
  </si>
  <si>
    <t>Einsteindreef 79 3562 XT Utrecht</t>
  </si>
  <si>
    <t>1540210656-432</t>
  </si>
  <si>
    <t>Langerakbaan 445 3544 SR Utrecht</t>
  </si>
  <si>
    <t>€ 282.500 k.k.</t>
  </si>
  <si>
    <t>1540210895-1119</t>
  </si>
  <si>
    <t>Koppestokstraat 65 3554 BC Utrecht</t>
  </si>
  <si>
    <t>87 m² / 90 m² 3 kamers</t>
  </si>
  <si>
    <t>1540210880-1079</t>
  </si>
  <si>
    <t>Glenn Millerpad 16 3543 GE Utrecht</t>
  </si>
  <si>
    <t>89 m² 2 kamers</t>
  </si>
  <si>
    <t>1540210662-442</t>
  </si>
  <si>
    <t>Jacques Offenbachplantsoen 58 3543 HK Utrecht</t>
  </si>
  <si>
    <t>194 m² / 214 m² 7 kamers</t>
  </si>
  <si>
    <t>1540210703-571</t>
  </si>
  <si>
    <t>Padangstraat 20 3531 TC Utrecht</t>
  </si>
  <si>
    <t>76 m² / 68 m² 3 kamers</t>
  </si>
  <si>
    <t>1540210911-1174</t>
  </si>
  <si>
    <t>Aziëlaan 586 3526 ST Utrecht</t>
  </si>
  <si>
    <t>€ 219.500 k.k.</t>
  </si>
  <si>
    <t>1540210715-600</t>
  </si>
  <si>
    <t>Croeselaan 238 3521 CL Utrecht</t>
  </si>
  <si>
    <t>137 m² / 97 m² 7 kamers</t>
  </si>
  <si>
    <t>1540210721-613</t>
  </si>
  <si>
    <t>Zwanenvechtlaan 5 3554 GK Utrecht</t>
  </si>
  <si>
    <t>€ 280.000 k.k.</t>
  </si>
  <si>
    <t>1540210880-1072</t>
  </si>
  <si>
    <t>Obrechtstraat 11 3572 EA Utrecht</t>
  </si>
  <si>
    <t>€ 899.000 k.k.</t>
  </si>
  <si>
    <t>201 m² / 120 m² 9 kamers</t>
  </si>
  <si>
    <t>1540210731-641</t>
  </si>
  <si>
    <t>F.C. Dondersstraat 9 3572 JA Utrecht</t>
  </si>
  <si>
    <t>€ 1.675.000 k.k.</t>
  </si>
  <si>
    <t>369 m² / 232 m² 10 kamers</t>
  </si>
  <si>
    <t>1540210885-1098</t>
  </si>
  <si>
    <t>Singelstraat 18 3513 BN Utrecht</t>
  </si>
  <si>
    <t>96 m² / 62 m² 5 kamers</t>
  </si>
  <si>
    <t>1540210741-673</t>
  </si>
  <si>
    <t>Wenenpromenade 30 3541 DG Utrecht</t>
  </si>
  <si>
    <t>1540210703-562</t>
  </si>
  <si>
    <t>Albert Neuhuysstraat 27 3583 SV Utrecht</t>
  </si>
  <si>
    <t>€ 789.000 k.k.</t>
  </si>
  <si>
    <t>170 m² / 132 m² 7 kamers</t>
  </si>
  <si>
    <t>1540210762-739</t>
  </si>
  <si>
    <t>Jacoba van Beierendreef 88 3561 EZ Utrecht</t>
  </si>
  <si>
    <t>€ 340.000 k.k.</t>
  </si>
  <si>
    <t>123 m² / 109 m² 5 kamers</t>
  </si>
  <si>
    <t>1540210792-831</t>
  </si>
  <si>
    <t>Operettelaan 735 3543 BR Utrecht</t>
  </si>
  <si>
    <t>135 m² 4 kamers</t>
  </si>
  <si>
    <t>1540210595-240</t>
  </si>
  <si>
    <t>Peter Schathof (Bouwnr. 53) 3533 HZ Utrecht</t>
  </si>
  <si>
    <t>€ 669.000 v.o.n.</t>
  </si>
  <si>
    <t>170 m² 5 kamers</t>
  </si>
  <si>
    <t>1540210854-1006</t>
  </si>
  <si>
    <t>Kernkampplantsoen 30 3571 PL Utrecht</t>
  </si>
  <si>
    <t>1540210823-908</t>
  </si>
  <si>
    <t>Voordorpsedijk 26 3566 MN Utrecht</t>
  </si>
  <si>
    <t>100 m² / 11.455 m² 2 kamers</t>
  </si>
  <si>
    <t>1540210890-1111</t>
  </si>
  <si>
    <t>Beneluxlaan 200 3527 HZ Utrecht</t>
  </si>
  <si>
    <t>75 m² 2 kamers</t>
  </si>
  <si>
    <t>1540210808-869</t>
  </si>
  <si>
    <t>Simon Carmiggeltplantsoen 1 3544 HW Utrecht</t>
  </si>
  <si>
    <t>124 m² / 102 m² 6 kamers</t>
  </si>
  <si>
    <t>1540210746-684</t>
  </si>
  <si>
    <t>Otterstraat 88 3513 CP Utrecht</t>
  </si>
  <si>
    <t>€ 649.000 k.k.</t>
  </si>
  <si>
    <t>167 m² 5 kamers</t>
  </si>
  <si>
    <t>1540210687-527</t>
  </si>
  <si>
    <t>Croesestraat 32 3522 AE Utrecht</t>
  </si>
  <si>
    <t>65 m² / 87 m² 3 kamers</t>
  </si>
  <si>
    <t>1540210595-242</t>
  </si>
  <si>
    <t>Nachtegaalstraat 12 Bis 3581 AG Utrecht</t>
  </si>
  <si>
    <t>137 m² 3 kamers</t>
  </si>
  <si>
    <t>1540210782-788</t>
  </si>
  <si>
    <t>Parkzichtlaan 328 3544 MN Utrecht</t>
  </si>
  <si>
    <t>164 m² / 157 m² 8 kamers</t>
  </si>
  <si>
    <t>1540210813-890</t>
  </si>
  <si>
    <t>Regentesselaan 56 3571 CG Utrecht</t>
  </si>
  <si>
    <t>114 m² / 148 m² 7 kamers</t>
  </si>
  <si>
    <t>1540210818-895</t>
  </si>
  <si>
    <t>Kapelstraat 46 3572 CM Utrecht</t>
  </si>
  <si>
    <t>58 m² / 58 m² 3 kamers</t>
  </si>
  <si>
    <t>1540210844-970</t>
  </si>
  <si>
    <t>Parkzichtlaan 280 3544 MN Utrecht</t>
  </si>
  <si>
    <t>189 m² / 226 m² 7 kamers</t>
  </si>
  <si>
    <t>1540210631-360</t>
  </si>
  <si>
    <t>Marnixlaan 272 D 3552 HK Utrecht</t>
  </si>
  <si>
    <t>1540210859-1023</t>
  </si>
  <si>
    <t>Hugo de Grootstraat 2 Bis 3581 XS Utrecht</t>
  </si>
  <si>
    <t>€ 685.000 k.k.</t>
  </si>
  <si>
    <t>143 m² 7 kamers</t>
  </si>
  <si>
    <t>1540210916-1178</t>
  </si>
  <si>
    <t>Reguliersteeg 3 3512 NT Utrecht</t>
  </si>
  <si>
    <t>51 m² / 41 m² 2 kamers</t>
  </si>
  <si>
    <t>1540210798-846</t>
  </si>
  <si>
    <t>Stobberakplantsoen 54 3544 TE Utrecht</t>
  </si>
  <si>
    <t>130 m² / 277 m² 5 kamers</t>
  </si>
  <si>
    <t>1540210600-250</t>
  </si>
  <si>
    <t>Verlengde Utrechtseweg 83 - 85 3544 HH Utrecht</t>
  </si>
  <si>
    <t>294 m² / 2.744 m² 2 kamers</t>
  </si>
  <si>
    <t>1540210844-972</t>
  </si>
  <si>
    <t>Pablo Picassostraat 125 3544 NX Utrecht</t>
  </si>
  <si>
    <t>1540210782-792</t>
  </si>
  <si>
    <t>Jerome Kernplantsoen 49 3543 DH Utrecht</t>
  </si>
  <si>
    <t>149 m² / 164 m² 5 kamers</t>
  </si>
  <si>
    <t>1540210721-612</t>
  </si>
  <si>
    <t>Ferdinand Bolstraat 8 3583 AR Utrecht</t>
  </si>
  <si>
    <t>1540210651-425</t>
  </si>
  <si>
    <t>Vancouverdreef 61 3564 KX Utrecht</t>
  </si>
  <si>
    <t>110 m² / 136 m² 4 kamers</t>
  </si>
  <si>
    <t>1540210864-1030</t>
  </si>
  <si>
    <t>Willem Barentszstraat 17 3572 PA Utrecht</t>
  </si>
  <si>
    <t>€ 1.150.000 k.k.</t>
  </si>
  <si>
    <t>252 m² / 161 m² 8 kamers</t>
  </si>
  <si>
    <t>1540210849-992</t>
  </si>
  <si>
    <t>Kapelstraat 25 3572 CJ Utrecht</t>
  </si>
  <si>
    <t>€ 845.000 k.k.</t>
  </si>
  <si>
    <t>226 m² / 126 m² 6 kamers</t>
  </si>
  <si>
    <t>1540210890-1106</t>
  </si>
  <si>
    <t>Mr. Tripkade 58 3571 SZ Utrecht</t>
  </si>
  <si>
    <t>147 m² / 236 m² 8 kamers</t>
  </si>
  <si>
    <t>1540210590-223</t>
  </si>
  <si>
    <t>Livingstonelaan 742 3526 JJ Utrecht</t>
  </si>
  <si>
    <t>20 m²</t>
  </si>
  <si>
    <t>1540210905-1147</t>
  </si>
  <si>
    <t>Einsteindreef 25 b 3562 XR Utrecht</t>
  </si>
  <si>
    <t>72 m² 3 kamers</t>
  </si>
  <si>
    <t>1540210854-1004</t>
  </si>
  <si>
    <t>Keistraat 7 3512 HV Utrecht</t>
  </si>
  <si>
    <t>307 m² / 189 m² 11 kamers</t>
  </si>
  <si>
    <t>1540210777-783</t>
  </si>
  <si>
    <t>Mereveldseweg 15 3585 LH Utrecht</t>
  </si>
  <si>
    <t>235 m² / 1.930 m² 9 kamers</t>
  </si>
  <si>
    <t>1540210844-975</t>
  </si>
  <si>
    <t>Fortunadreef 139 3561 EA Utrecht</t>
  </si>
  <si>
    <t>102 m² 3 kamers</t>
  </si>
  <si>
    <t>1540210736-661</t>
  </si>
  <si>
    <t>Oudegracht 337 3511 PC Utrecht</t>
  </si>
  <si>
    <t>€ 1.345.000 k.k.</t>
  </si>
  <si>
    <t>260 m² / 100 m² 8 kamers</t>
  </si>
  <si>
    <t>1540210875-1057</t>
  </si>
  <si>
    <t>Eligenstraat 39 3512 PT Utrecht</t>
  </si>
  <si>
    <t>66 m² / 47 m² 4 kamers</t>
  </si>
  <si>
    <t>1540210854-1007</t>
  </si>
  <si>
    <t>Rio Brancodreef 47 3563 SM Utrecht</t>
  </si>
  <si>
    <t>116 m² / 163 m² 4 kamers</t>
  </si>
  <si>
    <t>1540210767-755</t>
  </si>
  <si>
    <t>Roerplein 10 3522 GR Utrecht</t>
  </si>
  <si>
    <t>1540210900-1139</t>
  </si>
  <si>
    <t>Adelboldstraat 2 3553 SJ Utrecht</t>
  </si>
  <si>
    <t>87 m² / 72 m² 4 kamers</t>
  </si>
  <si>
    <t>1540210626-337</t>
  </si>
  <si>
    <t>Herculeslaan 146 3584 AB Utrecht</t>
  </si>
  <si>
    <t>€ 519.500 k.k.</t>
  </si>
  <si>
    <t>127 m² 2 kamers</t>
  </si>
  <si>
    <t>1540210798-838</t>
  </si>
  <si>
    <t>Talmalaan 63 3515 CW Utrecht</t>
  </si>
  <si>
    <t>139 m² / 55 m² 5 kamers</t>
  </si>
  <si>
    <t>1540210595-238</t>
  </si>
  <si>
    <t>Peter Schathof (Bouwnr. 49) 3533 JC Utrecht</t>
  </si>
  <si>
    <t>€ 729.000 v.o.n.</t>
  </si>
  <si>
    <t>182 m² 5 kamers</t>
  </si>
  <si>
    <t>1540210757-720</t>
  </si>
  <si>
    <t>Europaplein 825 3526 WR Utrecht</t>
  </si>
  <si>
    <t>28 m² 1 kamer</t>
  </si>
  <si>
    <t>1540210621-330</t>
  </si>
  <si>
    <t>Winklerlaan 152 3571 KN Utrecht</t>
  </si>
  <si>
    <t>46 m² 2 kamers</t>
  </si>
  <si>
    <t>1540210736-658</t>
  </si>
  <si>
    <t>Catharijnesingel 103 3511 GV Utrecht</t>
  </si>
  <si>
    <t>160 m² / 59 m² 6 kamers</t>
  </si>
  <si>
    <t>1540210667-460</t>
  </si>
  <si>
    <t>Galvanistraat 1 bis 3553 RA Utrecht</t>
  </si>
  <si>
    <t>109 m² 3 kamers</t>
  </si>
  <si>
    <t>1540210751-711</t>
  </si>
  <si>
    <t>Korte Lauwerstraat 10 e 3512 VE Utrecht</t>
  </si>
  <si>
    <t>1540210762-732</t>
  </si>
  <si>
    <t>Kamilleweg 5 3541 RN Utrecht</t>
  </si>
  <si>
    <t>123 m² / 117 m² 5 kamers</t>
  </si>
  <si>
    <t>1540210746-693</t>
  </si>
  <si>
    <t>Theemsdreef 402 3562 ER Utrecht</t>
  </si>
  <si>
    <t>90 m² 4 kamers</t>
  </si>
  <si>
    <t>1540210595-241</t>
  </si>
  <si>
    <t>Brederoplein 3 3521 XA Utrecht</t>
  </si>
  <si>
    <t>130 m² / 99 m² 6 kamers</t>
  </si>
  <si>
    <t>1540210610-289</t>
  </si>
  <si>
    <t>Bellamystraat 27 /27bis 3514 EK Utrecht</t>
  </si>
  <si>
    <t>€ 670.000 k.k.</t>
  </si>
  <si>
    <t>167 m² / 131 m² 6 kamers</t>
  </si>
  <si>
    <t>1540210641-395</t>
  </si>
  <si>
    <t>Frederik Hendrikstraat 17 3583 VE Utrecht</t>
  </si>
  <si>
    <t>221 m² / 144 m² 8 kamers</t>
  </si>
  <si>
    <t>1540210895-1117</t>
  </si>
  <si>
    <t>Seychellen 140 3524 JB Utrecht</t>
  </si>
  <si>
    <t>101 m² / 103 m² 5 kamers</t>
  </si>
  <si>
    <t>1540210721-616</t>
  </si>
  <si>
    <t>Biltstraat 24 c 3572 BB Utrecht</t>
  </si>
  <si>
    <t>1540210731-650</t>
  </si>
  <si>
    <t>De Parkwachter (Bouwnr. 42) 3541 Utrecht</t>
  </si>
  <si>
    <t>€ 800.000 v.o.n.</t>
  </si>
  <si>
    <t>170 m² 4 kamers</t>
  </si>
  <si>
    <t>1540210798-839</t>
  </si>
  <si>
    <t>Eykmanlaan 98 3571 KH Utrecht</t>
  </si>
  <si>
    <t>164 m² / 81 m² 6 kamers</t>
  </si>
  <si>
    <t>1540210880-1074</t>
  </si>
  <si>
    <t>Jadelaan 14 3523 CV Utrecht</t>
  </si>
  <si>
    <t>67 m² 5 kamers</t>
  </si>
  <si>
    <t>1540210859-1022</t>
  </si>
  <si>
    <t>Jan van Arkelstraat 54 3523 VH Utrecht</t>
  </si>
  <si>
    <t>109 m² / 146 m² 5 kamers</t>
  </si>
  <si>
    <t>1540210626-340</t>
  </si>
  <si>
    <t>Kerkdwarsstraat 29 3581 RG Utrecht</t>
  </si>
  <si>
    <t>69 m² / 45 m² 3 kamers</t>
  </si>
  <si>
    <t>1540210782-800</t>
  </si>
  <si>
    <t>Tweede Westerparklaan 109 3544 VP Utrecht</t>
  </si>
  <si>
    <t>128 m² / 157 m² 5 kamers</t>
  </si>
  <si>
    <t>1540210736-655</t>
  </si>
  <si>
    <t>Oudegracht 46 B 3511 AR Utrecht</t>
  </si>
  <si>
    <t>1540210767-747</t>
  </si>
  <si>
    <t>Jan van den Doemstraat 35 3515 XM Utrecht</t>
  </si>
  <si>
    <t>1540210721-607</t>
  </si>
  <si>
    <t>Keizerstraat 13 3512 EA Utrecht</t>
  </si>
  <si>
    <t>64 m² / 95 m² 3 kamers</t>
  </si>
  <si>
    <t>1540210895-1121</t>
  </si>
  <si>
    <t>Prof. Wentlaan 16 3571 GC Utrecht</t>
  </si>
  <si>
    <t>€ 779.000 k.k.</t>
  </si>
  <si>
    <t>150 m² / 246 m² 8 kamers</t>
  </si>
  <si>
    <t>1540210772-763</t>
  </si>
  <si>
    <t>Abstederdijk 265 BIS 3582 BK Utrecht</t>
  </si>
  <si>
    <t>1540210590-228</t>
  </si>
  <si>
    <t>Anthoniedijk 2 bis 3552 XD Utrecht</t>
  </si>
  <si>
    <t>€ 210.000 k.k.</t>
  </si>
  <si>
    <t>1540210731-646</t>
  </si>
  <si>
    <t>Prinses Ireneplateau 110 3554 HW Utrecht</t>
  </si>
  <si>
    <t>1540210726-626</t>
  </si>
  <si>
    <t>De Parkwachter (Bouwnr. 4) 3541 Utrecht</t>
  </si>
  <si>
    <t>€ 630.000 v.o.n.</t>
  </si>
  <si>
    <t>183 m² 4 kamers</t>
  </si>
  <si>
    <t>1540210911-1165</t>
  </si>
  <si>
    <t>Max Ernstlaan 22 3544 XA Utrecht</t>
  </si>
  <si>
    <t>153 m² / 580 m² 6 kamers</t>
  </si>
  <si>
    <t>1540210636-371</t>
  </si>
  <si>
    <t>Talmalaan 33 3515 CW Utrecht</t>
  </si>
  <si>
    <t>125 m² / 45 m² 5 kamers</t>
  </si>
  <si>
    <t>1540210600-254</t>
  </si>
  <si>
    <t>De Parkwachter (Bouwnr. 7) 3541 Utrecht</t>
  </si>
  <si>
    <t>106 m² 1 kamer</t>
  </si>
  <si>
    <t>1540210636-375</t>
  </si>
  <si>
    <t>Nijenrodelaan 67 3554 TX Utrecht</t>
  </si>
  <si>
    <t>125 m² / 148 m² 6 kamers</t>
  </si>
  <si>
    <t>1540210605-262</t>
  </si>
  <si>
    <t>Wijde Begijnestraat 19 3512 AW Utrecht</t>
  </si>
  <si>
    <t>€ 995.000 k.k.</t>
  </si>
  <si>
    <t>209 m² / 85 m² 9 kamers</t>
  </si>
  <si>
    <t>1540210641-386</t>
  </si>
  <si>
    <t>Van der Marckstraat 59 3554 XJ Utrecht</t>
  </si>
  <si>
    <t>1540210875-1058</t>
  </si>
  <si>
    <t>Den Brielstraat 17 3554 XD Utrecht</t>
  </si>
  <si>
    <t>77 m² / 103 m² 4 kamers</t>
  </si>
  <si>
    <t>1540210849-982</t>
  </si>
  <si>
    <t>Fivelingo 9 +P 3524 BG Utrecht</t>
  </si>
  <si>
    <t>1540210782-794</t>
  </si>
  <si>
    <t>Troelstralaan 40 3515 CJ Utrecht</t>
  </si>
  <si>
    <t>€ 579.000 k.k.</t>
  </si>
  <si>
    <t>154 m² / 129 m² 5 kamers</t>
  </si>
  <si>
    <t>1540210667-471</t>
  </si>
  <si>
    <t>Vuurvlindersingel 74 3544 DL Utrecht</t>
  </si>
  <si>
    <t>140 m² / 138 m² 6 kamers</t>
  </si>
  <si>
    <t>1540210741-680</t>
  </si>
  <si>
    <t>Van Humboldtstraat 83 A 3514 GN Utrecht</t>
  </si>
  <si>
    <t>€ 139.500 k.k.</t>
  </si>
  <si>
    <t>39 m² 2 kamers</t>
  </si>
  <si>
    <t>1540210859-1014</t>
  </si>
  <si>
    <t>Gazellestraat 96 3523 SZ Utrecht</t>
  </si>
  <si>
    <t>80 m² 3 kamers</t>
  </si>
  <si>
    <t>1540210672-484</t>
  </si>
  <si>
    <t>Aquamarijnlaan 296 3523 ER Utrecht</t>
  </si>
  <si>
    <t>1540210813-879</t>
  </si>
  <si>
    <t>Sweder van Zuylenweg 106 3553 HJ Utrecht</t>
  </si>
  <si>
    <t>€ 160.000 k.k.</t>
  </si>
  <si>
    <t>32 m² 2 kamers</t>
  </si>
  <si>
    <t>1540210610-281</t>
  </si>
  <si>
    <t>Keucheniusstraat 1 3551 XC Utrecht</t>
  </si>
  <si>
    <t>86 m² / 89 m² 4 kamers</t>
  </si>
  <si>
    <t>1540210762-740</t>
  </si>
  <si>
    <t>Abstederdijk 190 3582 BW Utrecht</t>
  </si>
  <si>
    <t>165 m² / 170 m² 8 kamers</t>
  </si>
  <si>
    <t>1540210731-640</t>
  </si>
  <si>
    <t>Emmalaan 4 B 3581 HR Utrecht</t>
  </si>
  <si>
    <t>290 m² / 515 m² 9 kamers</t>
  </si>
  <si>
    <t>1540210631-356</t>
  </si>
  <si>
    <t>Prinses Ireneplateau 77 3554 HW Utrecht</t>
  </si>
  <si>
    <t>1540210767-750</t>
  </si>
  <si>
    <t>Bolksbeekstraat 33 bis 3521 CN Utrecht</t>
  </si>
  <si>
    <t>1540210590-224</t>
  </si>
  <si>
    <t>Mimosastraat 59 3551 DA Utrecht</t>
  </si>
  <si>
    <t>1540210721-615</t>
  </si>
  <si>
    <t>Laan van Soestbergen 11 3582 SP Utrecht</t>
  </si>
  <si>
    <t>48 m² 3 kamers</t>
  </si>
  <si>
    <t>1540210626-339</t>
  </si>
  <si>
    <t>Pieter Nieuwlandstraat 84 3514 HL Utrecht</t>
  </si>
  <si>
    <t>133 m² / 100 m² 5 kamers</t>
  </si>
  <si>
    <t>1540210849-983</t>
  </si>
  <si>
    <t>Kerkstraat 10 3581 RD Utrecht</t>
  </si>
  <si>
    <t>153 m² 4 kamers</t>
  </si>
  <si>
    <t>1540210656-430</t>
  </si>
  <si>
    <t>Karel Doormanlaan 164 3572 NS Utrecht</t>
  </si>
  <si>
    <t>97 m² 3 kamers</t>
  </si>
  <si>
    <t>1540210864-1034</t>
  </si>
  <si>
    <t>1540210777-784</t>
  </si>
  <si>
    <t>Concordiastraat 29 3551 EL Utrecht</t>
  </si>
  <si>
    <t>90 m² / 97 m² 5 kamers</t>
  </si>
  <si>
    <t>1540210692-546</t>
  </si>
  <si>
    <t>Luzernevlinder 107 3544 DK Utrecht</t>
  </si>
  <si>
    <t>143 m² 4 kamers</t>
  </si>
  <si>
    <t>1540210854-1011</t>
  </si>
  <si>
    <t>Augusto Sandinostraat 48 3573 ZD Utrecht</t>
  </si>
  <si>
    <t>104 m² / 192 m² 4 kamers</t>
  </si>
  <si>
    <t>1540210844-974</t>
  </si>
  <si>
    <t>Cantondreef 63 3564 JL Utrecht</t>
  </si>
  <si>
    <t>€ 182.500 k.k.</t>
  </si>
  <si>
    <t>63 m² 2 kamers</t>
  </si>
  <si>
    <t>1540210834-950</t>
  </si>
  <si>
    <t>Auriollaan 85 3527 ES Utrecht</t>
  </si>
  <si>
    <t>1540210895-1129</t>
  </si>
  <si>
    <t>Eschersingel 86 3544 ML Utrecht</t>
  </si>
  <si>
    <t>137 m² / 97 m² 5 kamers</t>
  </si>
  <si>
    <t>1540210726-634</t>
  </si>
  <si>
    <t>Chrysantstraat 7 3551 TS Utrecht</t>
  </si>
  <si>
    <t>63 m² / 68 m² 3 kamers</t>
  </si>
  <si>
    <t>1540210828-923</t>
  </si>
  <si>
    <t>Croeselaan 371 bis 3521 BW Utrecht</t>
  </si>
  <si>
    <t>100 m² 6 kamers</t>
  </si>
  <si>
    <t>1540210636-376</t>
  </si>
  <si>
    <t>Korenbloemstraat 53 3551 GP Utrecht</t>
  </si>
  <si>
    <t>65 m² / 72 m² 3 kamers</t>
  </si>
  <si>
    <t>1540210900-1144</t>
  </si>
  <si>
    <t>Nijenrodeplantsoen 110 3554 TT Utrecht</t>
  </si>
  <si>
    <t>112 m² / 130 m² 5 kamers</t>
  </si>
  <si>
    <t>1540210895-1126</t>
  </si>
  <si>
    <t>Rijnlaan 178 3522 BX Utrecht</t>
  </si>
  <si>
    <t>98 m² / 91 m² 4 kamers</t>
  </si>
  <si>
    <t>1540210798-837</t>
  </si>
  <si>
    <t>Wageningseberg 350 3524 LX Utrecht</t>
  </si>
  <si>
    <t>1540210818-896</t>
  </si>
  <si>
    <t>Hooft Graaflandstraat 27 3525 VM Utrecht</t>
  </si>
  <si>
    <t>110 m² / 92 m² 6 kamers</t>
  </si>
  <si>
    <t>1540210721-619</t>
  </si>
  <si>
    <t>Sumatrastraat 39 2 3531 PB Utrecht</t>
  </si>
  <si>
    <t>€ 119.500 v.o.n.</t>
  </si>
  <si>
    <t>22 m² 2 kamers</t>
  </si>
  <si>
    <t>1540210757-725</t>
  </si>
  <si>
    <t>Smaragdhof 5 3523 CX Utrecht</t>
  </si>
  <si>
    <t>€ 219.000 k.k.</t>
  </si>
  <si>
    <t>60 m² 4 kamers</t>
  </si>
  <si>
    <t>1540210798-840</t>
  </si>
  <si>
    <t>Zonstraat 6 3581 MS Utrecht</t>
  </si>
  <si>
    <t>75 m² / 33 m² 5 kamers</t>
  </si>
  <si>
    <t>1540210890-1114</t>
  </si>
  <si>
    <t>Merelstraat 20 3514 CN Utrecht</t>
  </si>
  <si>
    <t>93 m² 3 kamers</t>
  </si>
  <si>
    <t>1540210787-802</t>
  </si>
  <si>
    <t>Rijnlaan 173 3522 BK Utrecht</t>
  </si>
  <si>
    <t>1540210595-234</t>
  </si>
  <si>
    <t>1540210662-453</t>
  </si>
  <si>
    <t>Herenweg 26 3513 CE Utrecht</t>
  </si>
  <si>
    <t>1540210864-1039</t>
  </si>
  <si>
    <t>Rijnlaan 267 3522 BM Utrecht</t>
  </si>
  <si>
    <t>€ 460.000 k.k.</t>
  </si>
  <si>
    <t>107 m² / 85 m² 5 kamers</t>
  </si>
  <si>
    <t>1540210890-1107</t>
  </si>
  <si>
    <t>Sigmund Rombergstraat 35 3543 GC Utrecht</t>
  </si>
  <si>
    <t>65 m² / 189 m² 4 kamers</t>
  </si>
  <si>
    <t>1540210864-1036</t>
  </si>
  <si>
    <t>Chopinstraat 7 3533 EJ Utrecht</t>
  </si>
  <si>
    <t>€ 459.000 k.k.</t>
  </si>
  <si>
    <t>117 m² / 101 m² 6 kamers</t>
  </si>
  <si>
    <t>1540210875-1060</t>
  </si>
  <si>
    <t>Burgemeester Norbruislaan 81 3555 EE Utrecht</t>
  </si>
  <si>
    <t>96 m² / 123 m² 5 kamers</t>
  </si>
  <si>
    <t>1540210687-531</t>
  </si>
  <si>
    <t>Van Lennepstraat 75 3532 TM Utrecht</t>
  </si>
  <si>
    <t>88 m² / 85 m² 4 kamers</t>
  </si>
  <si>
    <t>1540210656-428</t>
  </si>
  <si>
    <t>Smaragdplein 55 3523 EC Utrecht</t>
  </si>
  <si>
    <t>1540210708-580</t>
  </si>
  <si>
    <t>Greenville (Bouwnr. 121) 3541 DZ Utrecht</t>
  </si>
  <si>
    <t>€ 454.000 v.o.n.</t>
  </si>
  <si>
    <t>1540210844-979</t>
  </si>
  <si>
    <t>Bisschopsplein 3 3553 SK Utrecht</t>
  </si>
  <si>
    <t>71 m² / 66 m² 5 kamers</t>
  </si>
  <si>
    <t>1540210708-589</t>
  </si>
  <si>
    <t>Gildstraat 115 3572 EM Utrecht</t>
  </si>
  <si>
    <t>77 m² / 67 m² 3 kamers</t>
  </si>
  <si>
    <t>1540210808-875</t>
  </si>
  <si>
    <t>Leonard Bernsteinkade 5 3543 CC Utrecht</t>
  </si>
  <si>
    <t>€ 417.500 k.k.</t>
  </si>
  <si>
    <t>149 m² / 131 m² 5 kamers</t>
  </si>
  <si>
    <t>1540210615-292</t>
  </si>
  <si>
    <t>Karel Doormanlaan 126 3572 NN Utrecht</t>
  </si>
  <si>
    <t>1540210828-922</t>
  </si>
  <si>
    <t>Minister Talmastraat 24 H 3555 GH Utrecht</t>
  </si>
  <si>
    <t>1540210746-689</t>
  </si>
  <si>
    <t>Verlengde Utrechtseweg 81 3544 HH Utrecht</t>
  </si>
  <si>
    <t>€ 699.500 k.k.</t>
  </si>
  <si>
    <t>155 m² / 1.025 m² 7 kamers</t>
  </si>
  <si>
    <t>1540210885-1097</t>
  </si>
  <si>
    <t>Léon Jesselhof 4 3543 HL Utrecht</t>
  </si>
  <si>
    <t>138 m² / 206 m² 4 kamers</t>
  </si>
  <si>
    <t>1540210677-495</t>
  </si>
  <si>
    <t>Amsterdamsestraatweg 747 3555 HH Utrecht</t>
  </si>
  <si>
    <t>1540210721-620</t>
  </si>
  <si>
    <t>The Nature (Bouwnr. 40) 3541 BH Utrecht</t>
  </si>
  <si>
    <t>€ 335.550 v.o.n.</t>
  </si>
  <si>
    <t>1540210590-225</t>
  </si>
  <si>
    <t>Willem van Noortstraat 45 3514 GB Utrecht</t>
  </si>
  <si>
    <t>1540210916-1190</t>
  </si>
  <si>
    <t>Prof. Hugo de Vrieslaan 29 3571 GE Utrecht</t>
  </si>
  <si>
    <t>127 m² / 153 m² 7 kamers</t>
  </si>
  <si>
    <t>1540210672-480</t>
  </si>
  <si>
    <t>2e Daalsedijk 165 3551 EG Utrecht</t>
  </si>
  <si>
    <t>92 m² / 108 m² 5 kamers</t>
  </si>
  <si>
    <t>1540210798-835</t>
  </si>
  <si>
    <t>Hendrika van Tussenbroeklaan 180 3533 SZ Utrecht</t>
  </si>
  <si>
    <t>€ 248.000 k.k.</t>
  </si>
  <si>
    <t>1540210885-1094</t>
  </si>
  <si>
    <t>F. Koolhovenstraat 49 3555 VG Utrecht</t>
  </si>
  <si>
    <t>€ 334.500 k.k.</t>
  </si>
  <si>
    <t>88 m² / 90 m² 5 kamers</t>
  </si>
  <si>
    <t>1540210677-490</t>
  </si>
  <si>
    <t>Koningsweg 1 3582 GA Utrecht</t>
  </si>
  <si>
    <t>84 m² / 430 m² 6 kamers</t>
  </si>
  <si>
    <t>1540210782-798</t>
  </si>
  <si>
    <t>Albrecht Thaerlaan 53 3571 EG Utrecht</t>
  </si>
  <si>
    <t>118 m² / 138 m² 6 kamers</t>
  </si>
  <si>
    <t>1540210610-286</t>
  </si>
  <si>
    <t>Karel Doormanlaan 167 3572 NS Utrecht</t>
  </si>
  <si>
    <t>1540210911-1166</t>
  </si>
  <si>
    <t>Prof. Hugo de Vrieslaan 40 3571 GJ Utrecht</t>
  </si>
  <si>
    <t>130 m² / 306 m² 5 kamers</t>
  </si>
  <si>
    <t>1540210839-952</t>
  </si>
  <si>
    <t>Schoenerstraat 12 3534 RM Utrecht</t>
  </si>
  <si>
    <t>87 m² / 108 m² 4 kamers</t>
  </si>
  <si>
    <t>1540210646-406</t>
  </si>
  <si>
    <t>Prinses Ireneplateau 16 3554 HW Utrecht</t>
  </si>
  <si>
    <t>1540210803-850</t>
  </si>
  <si>
    <t>Bernard de Waalstraat 42 3555 BK Utrecht</t>
  </si>
  <si>
    <t>99 m² / 117 m² 5 kamers</t>
  </si>
  <si>
    <t>1540210677-493</t>
  </si>
  <si>
    <t>Huis ten Boschlaan 5 3523 HM Utrecht</t>
  </si>
  <si>
    <t>66 m² 3 kamers</t>
  </si>
  <si>
    <t>1540210818-894</t>
  </si>
  <si>
    <t>Oude Pijlsweerdstraat 34 3513 GL Utrecht</t>
  </si>
  <si>
    <t>66 m² 4 kamers</t>
  </si>
  <si>
    <t>1540210885-1091</t>
  </si>
  <si>
    <t>Veilingstraat 31 3521 BE Utrecht</t>
  </si>
  <si>
    <t>1540210636-373</t>
  </si>
  <si>
    <t>Okkernootstraat 12 3552 VM Utrecht</t>
  </si>
  <si>
    <t>72 m² / 122 m² 5 kamers</t>
  </si>
  <si>
    <t>1540210636-372</t>
  </si>
  <si>
    <t>Van Vollenhovenlaan 128 3527 JT Utrecht</t>
  </si>
  <si>
    <t>96 m² / 220 m² 5 kamers</t>
  </si>
  <si>
    <t>1540210621-334</t>
  </si>
  <si>
    <t>St.-Ludgerusstraat 343 3553 CX Utrecht</t>
  </si>
  <si>
    <t>77 m² 6 kamers</t>
  </si>
  <si>
    <t>1540210651-426</t>
  </si>
  <si>
    <t>Westinghousestraat 66 3555 VD Utrecht</t>
  </si>
  <si>
    <t>68 m² / 126 m² 3 kamers</t>
  </si>
  <si>
    <t>1540210626-341</t>
  </si>
  <si>
    <t>Egelantierstraat 31 3551 GB Utrecht</t>
  </si>
  <si>
    <t>72 m² / 73 m² 3 kamers</t>
  </si>
  <si>
    <t>1540210828-928</t>
  </si>
  <si>
    <t>Amsterdamsestraatweg 459 B 3553 EC Utrecht</t>
  </si>
  <si>
    <t>€ 234.000 k.k.</t>
  </si>
  <si>
    <t>1540210813-891</t>
  </si>
  <si>
    <t>Van der Goesstraat 43 3521 TK Utrecht</t>
  </si>
  <si>
    <t>€ 469.000 k.k.</t>
  </si>
  <si>
    <t>1540210641-388</t>
  </si>
  <si>
    <t>Leeuwerikstraat 6 3514 CR Utrecht</t>
  </si>
  <si>
    <t>71 m² / 63 m² 4 kamers</t>
  </si>
  <si>
    <t>1540210885-1099</t>
  </si>
  <si>
    <t>Derde Westerparklaan 313 3544 NH Utrecht</t>
  </si>
  <si>
    <t>156 m² / 248 m² 5 kamers</t>
  </si>
  <si>
    <t>1540210672-486</t>
  </si>
  <si>
    <t>Arthur van Schendelstraat 701 3511 MZ Utrecht</t>
  </si>
  <si>
    <t>1540210880-1077</t>
  </si>
  <si>
    <t>Plantage 139 3551 DH Utrecht</t>
  </si>
  <si>
    <t>1540210746-685</t>
  </si>
  <si>
    <t>Bremstraat 59 3551 TB Utrecht</t>
  </si>
  <si>
    <t>66 m² / 55 m² 3 kamers</t>
  </si>
  <si>
    <t>1540210726-635</t>
  </si>
  <si>
    <t>Troosterlaan 34 3571 NN Utrecht</t>
  </si>
  <si>
    <t>134 m² / 148 m² 7 kamers</t>
  </si>
  <si>
    <t>1540210741-676</t>
  </si>
  <si>
    <t>Korte Lauwerstraat 19 3512 VE Utrecht</t>
  </si>
  <si>
    <t>127 m² / 49 m² 6 kamers</t>
  </si>
  <si>
    <t>1540210787-812</t>
  </si>
  <si>
    <t>Wickenburglaan 22 3523 JT Utrecht</t>
  </si>
  <si>
    <t>117 m² / 179 m² 5 kamers</t>
  </si>
  <si>
    <t>1540210772-761</t>
  </si>
  <si>
    <t>Ravellaan 137 3533 JL Utrecht</t>
  </si>
  <si>
    <t>1540210859-1013</t>
  </si>
  <si>
    <t>Kievitdwarsstraat 48 3514 VG Utrecht</t>
  </si>
  <si>
    <t>1540210844-968</t>
  </si>
  <si>
    <t>Scheldestraat 1 3522 CA Utrecht</t>
  </si>
  <si>
    <t>1540210869-1053</t>
  </si>
  <si>
    <t>Nieuwe Koekoekstraat 66 bis 3514 EH Utrecht</t>
  </si>
  <si>
    <t>1540210757-715</t>
  </si>
  <si>
    <t>Jutfaseweg 134 3522 HL Utrecht</t>
  </si>
  <si>
    <t>€ 559.000 k.k.</t>
  </si>
  <si>
    <t>144 m² / 85 m² 6 kamers</t>
  </si>
  <si>
    <t>1540210844-976</t>
  </si>
  <si>
    <t>Achter St.-Pieter 4 3512 HS Utrecht</t>
  </si>
  <si>
    <t>€ 1.325.000 k.k.</t>
  </si>
  <si>
    <t>326 m² / 175 m² 9 kamers</t>
  </si>
  <si>
    <t>1540210890-1109</t>
  </si>
  <si>
    <t>Zevenwouden 50 3524 CV Utrecht</t>
  </si>
  <si>
    <t>€ 170.000 k.k.</t>
  </si>
  <si>
    <t>49 m² 2 kamers</t>
  </si>
  <si>
    <t>1540210590-230</t>
  </si>
  <si>
    <t>Violenstraat 32 3551 BC Utrecht</t>
  </si>
  <si>
    <t>74 m² / 64 m² 3 kamers</t>
  </si>
  <si>
    <t>1540210885-1100</t>
  </si>
  <si>
    <t>Frederik Loewestraat 31 3543 CK Utrecht</t>
  </si>
  <si>
    <t>€ 999.000 k.k.</t>
  </si>
  <si>
    <t>232 m² / 437 m² 5 kamers</t>
  </si>
  <si>
    <t>1540210777-772</t>
  </si>
  <si>
    <t>Menno van Coehoornstraat 26 3514 XG Utrecht</t>
  </si>
  <si>
    <t>85 m² / 101 m² 4 kamers</t>
  </si>
  <si>
    <t>1540210844-981</t>
  </si>
  <si>
    <t>Jacques Offenbachplantsoen 41 3543 HJ Utrecht</t>
  </si>
  <si>
    <t>81 m² / 142 m² 3 kamers</t>
  </si>
  <si>
    <t>1540210895-1120</t>
  </si>
  <si>
    <t>Raiffeisenlaan 34 3571 TE Utrecht</t>
  </si>
  <si>
    <t>€ 925.000 k.k.</t>
  </si>
  <si>
    <t>155 m² / 256 m² 5 kamers</t>
  </si>
  <si>
    <t>1540210875-1071</t>
  </si>
  <si>
    <t>Jan van Galenstraat 73 3572 LC Utrecht</t>
  </si>
  <si>
    <t>133 m² / 233 m² 8 kamers</t>
  </si>
  <si>
    <t>1540210662-450</t>
  </si>
  <si>
    <t>Gansstraat 52 3582 EJ Utrecht</t>
  </si>
  <si>
    <t>1540210667-459</t>
  </si>
  <si>
    <t>Otterstraat 106 3513 CR Utrecht</t>
  </si>
  <si>
    <t>1540210715-594</t>
  </si>
  <si>
    <t>Staalstraat 69 7 3572 RH Utrecht</t>
  </si>
  <si>
    <t>16 m² 1 kamer</t>
  </si>
  <si>
    <t>1540210708-590</t>
  </si>
  <si>
    <t>Krugerstraat 26 3531 AP Utrecht</t>
  </si>
  <si>
    <t>155 m² / 108 m² 6 kamers</t>
  </si>
  <si>
    <t>1540210687-526</t>
  </si>
  <si>
    <t>Walnootstraat 7 3552 GS Utrecht</t>
  </si>
  <si>
    <t>1540210880-1083</t>
  </si>
  <si>
    <t>Prins Hendriklaan 7 3583 EA Utrecht</t>
  </si>
  <si>
    <t>1540210631-357</t>
  </si>
  <si>
    <t>Gerhardstraat 23 3555 WK Utrecht</t>
  </si>
  <si>
    <t>1540210721-608</t>
  </si>
  <si>
    <t>Verlengde Hoogravenseweg 290 3523 KJ Utrecht</t>
  </si>
  <si>
    <t>123 m² / 127 m² 6 kamers</t>
  </si>
  <si>
    <t>1540210813-886</t>
  </si>
  <si>
    <t>Lange Smeestraat 10 A 3511 PW Utrecht</t>
  </si>
  <si>
    <t>1540210751-703</t>
  </si>
  <si>
    <t>Laan van Nieuw-Guinea 117 B 3531 JG Utrecht</t>
  </si>
  <si>
    <t>63 m² 4 kamers</t>
  </si>
  <si>
    <t>1540210839-963</t>
  </si>
  <si>
    <t>Toermalijnlaan 80 3523 BJ Utrecht</t>
  </si>
  <si>
    <t>1540210600-247</t>
  </si>
  <si>
    <t>Van Bijnkershoeklaan 363 3527 XJ Utrecht</t>
  </si>
  <si>
    <t>1540210698-549</t>
  </si>
  <si>
    <t>Prof. Hugo de Vrieslaan 17 3571 GE Utrecht</t>
  </si>
  <si>
    <t>1540210880-1076</t>
  </si>
  <si>
    <t>Johannes Uitenbogaertstraat 64 3553 VS Utrecht</t>
  </si>
  <si>
    <t>1540210641-396</t>
  </si>
  <si>
    <t>Croeselaan 216 3521 CK Utrecht</t>
  </si>
  <si>
    <t>100 m² / 90 m² 4 kamers</t>
  </si>
  <si>
    <t>1540210736-666</t>
  </si>
  <si>
    <t>Kwartelstraat 22 3514 EW Utrecht</t>
  </si>
  <si>
    <t>132 m² / 114 m² 6 kamers</t>
  </si>
  <si>
    <t>1540210859-1026</t>
  </si>
  <si>
    <t>B.F. Suermanstraat 13 bis 3515 XK Utrecht</t>
  </si>
  <si>
    <t>93 m² 5 kamers</t>
  </si>
  <si>
    <t>1540210636-380</t>
  </si>
  <si>
    <t>Chrysantstraat 12 3551 TT Utrecht</t>
  </si>
  <si>
    <t>€ 358.500 k.k.</t>
  </si>
  <si>
    <t>108 m² / 60 m² 4 kamers</t>
  </si>
  <si>
    <t>1540210844-971</t>
  </si>
  <si>
    <t>Pepermuntstraat 12 3544 CC Utrecht</t>
  </si>
  <si>
    <t>117 m² / 119 m² 4 kamers</t>
  </si>
  <si>
    <t>1540210911-1164</t>
  </si>
  <si>
    <t>Blauwkapelseweg 3 3572 KA Utrecht</t>
  </si>
  <si>
    <t>€ 598.000 k.k.</t>
  </si>
  <si>
    <t>137 m² / 73 m² 7 kamers</t>
  </si>
  <si>
    <t>1540210626-345</t>
  </si>
  <si>
    <t>Molengraaffplantsoen 79 3571 ZZ Utrecht</t>
  </si>
  <si>
    <t>106 m² / 150 m² 4 kamers</t>
  </si>
  <si>
    <t>1540210905-1161</t>
  </si>
  <si>
    <t>Eduard Künnekehof 31 3543 HT Utrecht</t>
  </si>
  <si>
    <t>125 m² / 157 m² 4 kamers</t>
  </si>
  <si>
    <t>1540210762-733</t>
  </si>
  <si>
    <t>Cicerolaan 14 3584 AK Utrecht</t>
  </si>
  <si>
    <t>€ 1.100.000 k.k.</t>
  </si>
  <si>
    <t>163 m² / 525 m² 5 kamers</t>
  </si>
  <si>
    <t>1540210687-528</t>
  </si>
  <si>
    <t>Johannes Brahmsstraat 31 3533 EX Utrecht</t>
  </si>
  <si>
    <t>122 m² / 133 m² 6 kamers</t>
  </si>
  <si>
    <t>1540210636-374</t>
  </si>
  <si>
    <t>Ray Charlesstraat 13 3543 EK Utrecht</t>
  </si>
  <si>
    <t>143 m² / 129 m² 6 kamers</t>
  </si>
  <si>
    <t>1540210636-378</t>
  </si>
  <si>
    <t>Everard Foeckstraat 9 3515 ED Utrecht</t>
  </si>
  <si>
    <t>124 m² / 98 m² 6 kamers</t>
  </si>
  <si>
    <t>1540210777-786</t>
  </si>
  <si>
    <t>Wijnbesplantsoen 3 3552 GK Utrecht</t>
  </si>
  <si>
    <t>1540210692-534</t>
  </si>
  <si>
    <t>Yokohamadreef 45 3564 XH Utrecht</t>
  </si>
  <si>
    <t>110 m² / 155 m² 5 kamers</t>
  </si>
  <si>
    <t>1540210854-1009</t>
  </si>
  <si>
    <t>Sumatrastraat 43 3531 PB Utrecht</t>
  </si>
  <si>
    <t>73 m² / 55 m² 3 kamers</t>
  </si>
  <si>
    <t>1540210813-887</t>
  </si>
  <si>
    <t>Burgemeester van Tuyllkade 27 bis 3553 AB Utrecht</t>
  </si>
  <si>
    <t>1540210610-280</t>
  </si>
  <si>
    <t>Bouwnummer (Bouwnr. 32) 3528 BC Utrecht</t>
  </si>
  <si>
    <t>€ 559.000 v.o.n.</t>
  </si>
  <si>
    <t>172 m² 6 kamers</t>
  </si>
  <si>
    <t>1540210646-397</t>
  </si>
  <si>
    <t>Burgemeester Norbruislaan 25 3555 ED Utrecht</t>
  </si>
  <si>
    <t>87 m² / 330 m² 5 kamers</t>
  </si>
  <si>
    <t>1540210890-1113</t>
  </si>
  <si>
    <t>Hopakker 5 3514 BS Utrecht</t>
  </si>
  <si>
    <t>55 m² 3 kamers</t>
  </si>
  <si>
    <t>1540210849-994</t>
  </si>
  <si>
    <t>Mgr. Hoogveldplein 3 3555 WN Utrecht</t>
  </si>
  <si>
    <t>€ 242.500 k.k.</t>
  </si>
  <si>
    <t>77 m² / 26 m² 4 kamers</t>
  </si>
  <si>
    <t>1540210662-443</t>
  </si>
  <si>
    <t>M. de Klerkstraat 14 3555 CN Utrecht</t>
  </si>
  <si>
    <t>60 m² / 95 m² 3 kamers</t>
  </si>
  <si>
    <t>1540210854-1008</t>
  </si>
  <si>
    <t>Kernkampplantsoen 21 3571 PK Utrecht</t>
  </si>
  <si>
    <t>1540210869-1043</t>
  </si>
  <si>
    <t>Prof. J.W. Dieperinklaan 2 A 3571 WK Utrecht</t>
  </si>
  <si>
    <t>193 m² / 148 m² 6 kamers</t>
  </si>
  <si>
    <t>1540210692-542</t>
  </si>
  <si>
    <t>Van Bijnkershoeklaan 307 3527 XH Utrecht</t>
  </si>
  <si>
    <t>1540210834-947</t>
  </si>
  <si>
    <t>Gageldijk 205 A 3566 MJ Utrecht</t>
  </si>
  <si>
    <t>151 m² / 7.387 m² 5 kamers</t>
  </si>
  <si>
    <t>1540210741-670</t>
  </si>
  <si>
    <t>Biltstraat 150 3572 BM Utrecht</t>
  </si>
  <si>
    <t>1540210777-780</t>
  </si>
  <si>
    <t>Lumbresstraat 5 3554 VW Utrecht</t>
  </si>
  <si>
    <t>€ 297.500 k.k.</t>
  </si>
  <si>
    <t>1540210798-843</t>
  </si>
  <si>
    <t>Berkelstraat 148 3522 ET Utrecht</t>
  </si>
  <si>
    <t>97 m² / 108 m² 4 kamers</t>
  </si>
  <si>
    <t>1540210731-643</t>
  </si>
  <si>
    <t>Mgr. van de Weteringstraat 30 -30bis 3581 EJ Utrecht</t>
  </si>
  <si>
    <t>170 m² / 78 m² 4 kamers</t>
  </si>
  <si>
    <t>1540210726-636</t>
  </si>
  <si>
    <t>Van der Mondestraat 20 a 3515 BH Utrecht</t>
  </si>
  <si>
    <t>63 m² / 42 m² 3 kamers</t>
  </si>
  <si>
    <t>1540210662-445</t>
  </si>
  <si>
    <t>Amsterdamsestraatweg 521 A 3553 EE Utrecht</t>
  </si>
  <si>
    <t>€ 179.500 k.k.</t>
  </si>
  <si>
    <t>1540210895-1130</t>
  </si>
  <si>
    <t>Livarstraat 47 3573 SB Utrecht</t>
  </si>
  <si>
    <t>208 m² / 132 m² 6 kamers</t>
  </si>
  <si>
    <t>1540210777-782</t>
  </si>
  <si>
    <t>Snelliuskade 2 3514 XA Utrecht</t>
  </si>
  <si>
    <t>204 m² / 115 m² 5 kamers</t>
  </si>
  <si>
    <t>1540210631-366</t>
  </si>
  <si>
    <t>Prins Bernhardlaan 33 bis 3555 AB Utrecht</t>
  </si>
  <si>
    <t>96 m² 6 kamers</t>
  </si>
  <si>
    <t>1540210615-305</t>
  </si>
  <si>
    <t>Rauwenhofflaan 140 3571 HL Utrecht</t>
  </si>
  <si>
    <t>€ 159.000 k.k.</t>
  </si>
  <si>
    <t>1540210721-617</t>
  </si>
  <si>
    <t>Amsterdamsestraatweg 491 -4 3553 ED Utrecht</t>
  </si>
  <si>
    <t>€ 68.000 k.k.</t>
  </si>
  <si>
    <t>1540210605-273</t>
  </si>
  <si>
    <t>Bouwnummer (Bouwnr. 30) 3573 SX Utrecht</t>
  </si>
  <si>
    <t>€ 380.000 v.o.n.</t>
  </si>
  <si>
    <t>1540210731-637</t>
  </si>
  <si>
    <t>Oudwijkerlaan 21 3581 TB Utrecht</t>
  </si>
  <si>
    <t>177 m² / 155 m² 8 kamers</t>
  </si>
  <si>
    <t>1540210651-418</t>
  </si>
  <si>
    <t>Louis Couperusstraat 12 B 3532 CZ Utrecht</t>
  </si>
  <si>
    <t>1540210667-470</t>
  </si>
  <si>
    <t>M. de Klerkstraat 9 3555 CM Utrecht</t>
  </si>
  <si>
    <t>€ 217.500 k.k.</t>
  </si>
  <si>
    <t>1540210656-436</t>
  </si>
  <si>
    <t>Albert van Dalsumlaan 833 3584 HS Utrecht</t>
  </si>
  <si>
    <t>€ 294.000 k.k.</t>
  </si>
  <si>
    <t>1540210900-1133</t>
  </si>
  <si>
    <t>Tesselschadestraat 14 +14 bis 3521 XV Utrecht</t>
  </si>
  <si>
    <t>171 m² / 123 m² 7 kamers</t>
  </si>
  <si>
    <t>1540210905-1156</t>
  </si>
  <si>
    <t>Sartreweg 122 3573 PP Utrecht</t>
  </si>
  <si>
    <t>131 m² 3 kamers</t>
  </si>
  <si>
    <t>1540210751-709</t>
  </si>
  <si>
    <t>Kapelstraat 61 3572 CJ Utrecht</t>
  </si>
  <si>
    <t>1540210839-961</t>
  </si>
  <si>
    <t>Paramaribostraat 35 3531 KP Utrecht</t>
  </si>
  <si>
    <t>64 m² 2 kamers</t>
  </si>
  <si>
    <t>1540210839-955</t>
  </si>
  <si>
    <t>Jan van Zutphenlaan 16 3555 SP Utrecht</t>
  </si>
  <si>
    <t>€ 244.500 k.k.</t>
  </si>
  <si>
    <t>93 m² / 143 m² 4 kamers</t>
  </si>
  <si>
    <t>1540210667-465</t>
  </si>
  <si>
    <t>Einsteindreef 23 C 3562 XR Utrecht</t>
  </si>
  <si>
    <t>1540210682-513</t>
  </si>
  <si>
    <t>Van Swindenstraat 31 3514 XN Utrecht</t>
  </si>
  <si>
    <t>94 m² / 98 m² 4 kamers</t>
  </si>
  <si>
    <t>1540210798-834</t>
  </si>
  <si>
    <t>Laan van Nieuw-Guinea 41 - 41bis 3531 JC Utrecht</t>
  </si>
  <si>
    <t>116 m² / 47 m² 5 kamers</t>
  </si>
  <si>
    <t>1540210687-524</t>
  </si>
  <si>
    <t>Zandooghof 25 3544 VK Utrecht</t>
  </si>
  <si>
    <t>172 m² / 172 m² 6 kamers</t>
  </si>
  <si>
    <t>1540210757-717</t>
  </si>
  <si>
    <t>Leidseweg 205 3533 HD Utrecht</t>
  </si>
  <si>
    <t>1540210803-860</t>
  </si>
  <si>
    <t>Haagstraat 22 3581 SX Utrecht</t>
  </si>
  <si>
    <t>122 m² / 90 m² 5 kamers</t>
  </si>
  <si>
    <t>1540210751-706</t>
  </si>
  <si>
    <t>Biltstraat 389 A 3572 AV Utrecht</t>
  </si>
  <si>
    <t>37 m² 1 kamer</t>
  </si>
  <si>
    <t>1540210621-327</t>
  </si>
  <si>
    <t>Zwanenvechtlaan 136 3554 GN Utrecht</t>
  </si>
  <si>
    <t>1540210751-704</t>
  </si>
  <si>
    <t>Kreekraklaan 66 3544 WD Utrecht</t>
  </si>
  <si>
    <t>1540210854-998</t>
  </si>
  <si>
    <t>Zijldiepstraat 4 3522 EC Utrecht</t>
  </si>
  <si>
    <t>1540210885-1096</t>
  </si>
  <si>
    <t>Pieter Nieuwlandstraat 67 3514 HD Utrecht</t>
  </si>
  <si>
    <t>107 m² / 99 m² 5 kamers</t>
  </si>
  <si>
    <t>1540210767-746</t>
  </si>
  <si>
    <t>Valkstraat 29 3514 TG Utrecht</t>
  </si>
  <si>
    <t>1540210890-1102</t>
  </si>
  <si>
    <t>Amsterdamsestraatweg 1107 3555 HV Utrecht</t>
  </si>
  <si>
    <t>293 m² / 1.168 m² 9 kamers</t>
  </si>
  <si>
    <t>1540210762-734</t>
  </si>
  <si>
    <t>Rochus Meeuwiszstraat 17 3554 VR Utrecht</t>
  </si>
  <si>
    <t>€ 298.000 k.k.</t>
  </si>
  <si>
    <t>100 m² / 76 m² 5 kamers</t>
  </si>
  <si>
    <t>1540210803-852</t>
  </si>
  <si>
    <t>Nijldreef 29 3564 CR Utrecht</t>
  </si>
  <si>
    <t>127 m² / 145 m² 5 kamers</t>
  </si>
  <si>
    <t>1540210751-697</t>
  </si>
  <si>
    <t>Lombokstraat 3 a 3531 RA Utrecht</t>
  </si>
  <si>
    <t>€ 189.500 k.k.</t>
  </si>
  <si>
    <t>36 m² 3 kamers</t>
  </si>
  <si>
    <t>1540210731-647</t>
  </si>
  <si>
    <t>Bouwnummer (Bouwnr. 18) 3573 SX Utrecht</t>
  </si>
  <si>
    <t>€ 495.000 v.o.n.</t>
  </si>
  <si>
    <t>123 m² 5 kamers</t>
  </si>
  <si>
    <t>1540210641-383</t>
  </si>
  <si>
    <t>M.P. Lindostraat 10 3532 XE Utrecht</t>
  </si>
  <si>
    <t>121 m² 4 kamers</t>
  </si>
  <si>
    <t>1540210672-473</t>
  </si>
  <si>
    <t>Noordeindestraat 9 3523 VJ Utrecht</t>
  </si>
  <si>
    <t>104 m² / 116 m² 5 kamers</t>
  </si>
  <si>
    <t>1540210731-651</t>
  </si>
  <si>
    <t>De Parkwachter (Bouwnr. 43) 3541 Utrecht</t>
  </si>
  <si>
    <t>€ 1.140.000 v.o.n.</t>
  </si>
  <si>
    <t>237 m² 5 kamers</t>
  </si>
  <si>
    <t>1540210703-574</t>
  </si>
  <si>
    <t>Greenville (Bouwnr. 63) 3541 DZ Utrecht</t>
  </si>
  <si>
    <t>€ 198.000 v.o.n.</t>
  </si>
  <si>
    <t>44 m² 1 kamer</t>
  </si>
  <si>
    <t>1540210808-874</t>
  </si>
  <si>
    <t>Klifrakplantsoen 45 3544 RG Utrecht</t>
  </si>
  <si>
    <t>€ 429.000 k.k.</t>
  </si>
  <si>
    <t>150 m² / 171 m² 5 kamers</t>
  </si>
  <si>
    <t>1540210677-492</t>
  </si>
  <si>
    <t>Burgemeester van Tuyllkade 83 3553 AD Utrecht</t>
  </si>
  <si>
    <t>1540210677-491</t>
  </si>
  <si>
    <t>Mgr. van de Weteringstraat 17 3581 EB Utrecht</t>
  </si>
  <si>
    <t>115 m² 4 kamers</t>
  </si>
  <si>
    <t>1540210672-482</t>
  </si>
  <si>
    <t>Lelimanstraat 17 3555 CA Utrecht</t>
  </si>
  <si>
    <t>€ 222.500 k.k.</t>
  </si>
  <si>
    <t>1540210646-398</t>
  </si>
  <si>
    <t>Julianaweg 195 3525 VE Utrecht</t>
  </si>
  <si>
    <t>103 m² / 122 m² 5 kamers</t>
  </si>
  <si>
    <t>1540210839-966</t>
  </si>
  <si>
    <t>Minahassastraat 12 3531 KX Utrecht</t>
  </si>
  <si>
    <t>94 m² / 74 m² 4 kamers</t>
  </si>
  <si>
    <t>1540210859-1016</t>
  </si>
  <si>
    <t>Hondsrug 905 3524 BZ Utrecht</t>
  </si>
  <si>
    <t>1540210900-1142</t>
  </si>
  <si>
    <t>Brederoplein 10 3521 XA Utrecht</t>
  </si>
  <si>
    <t>113 m² / 115 m² 5 kamers</t>
  </si>
  <si>
    <t>1540210859-1021</t>
  </si>
  <si>
    <t>Mr. Sickeszlaan 40 3571 ST Utrecht</t>
  </si>
  <si>
    <t>142 m² / 138 m² 6 kamers</t>
  </si>
  <si>
    <t>1540210626-338</t>
  </si>
  <si>
    <t>Beukstraat 25 3581 XD Utrecht</t>
  </si>
  <si>
    <t>67 m² / 69 m² 4 kamers</t>
  </si>
  <si>
    <t>1540210631-363</t>
  </si>
  <si>
    <t>Apennijnen 17 3524 DK Utrecht</t>
  </si>
  <si>
    <t>1540210741-669</t>
  </si>
  <si>
    <t>Fruinplantsoen 57 A 3571 PS Utrecht</t>
  </si>
  <si>
    <t>42 m² 2 kamers</t>
  </si>
  <si>
    <t>1540210916-1181</t>
  </si>
  <si>
    <t>Paul Citroenstraat 20 3544 MD Utrecht</t>
  </si>
  <si>
    <t>€ 529.000 k.k.</t>
  </si>
  <si>
    <t>145 m² / 179 m² 5 kamers</t>
  </si>
  <si>
    <t>1540210828-929</t>
  </si>
  <si>
    <t>Zeeltstraat 147 3525 TE Utrecht</t>
  </si>
  <si>
    <t>1540210762-731</t>
  </si>
  <si>
    <t>Ampèrestraat 41 3553 CK Utrecht</t>
  </si>
  <si>
    <t>99 m² / 85 m² 5 kamers</t>
  </si>
  <si>
    <t>1540210621-333</t>
  </si>
  <si>
    <t>Albert van Dalsumlaan 443 3584 HK Utrecht</t>
  </si>
  <si>
    <t>1540210787-805</t>
  </si>
  <si>
    <t>Prof. Jan Bronnerlaan 183 3541 AK Utrecht</t>
  </si>
  <si>
    <t>€ 479.000 k.k.</t>
  </si>
  <si>
    <t>154 m² / 123 m² 5 kamers</t>
  </si>
  <si>
    <t>1540210844-973</t>
  </si>
  <si>
    <t>Roy Eldridgepad 27 3543 GZ Utrecht</t>
  </si>
  <si>
    <t>130 m² / 100 m² 5 kamers</t>
  </si>
  <si>
    <t>1540210885-1088</t>
  </si>
  <si>
    <t>Livingstonelaan 868 3526 JL Utrecht</t>
  </si>
  <si>
    <t>1540210798-844</t>
  </si>
  <si>
    <t>H. Diemerstraat 31 3555 GR Utrecht</t>
  </si>
  <si>
    <t>76 m² 5 kamers</t>
  </si>
  <si>
    <t>1540210772-767</t>
  </si>
  <si>
    <t>Pablo Picassostraat 135 3544 NX Utrecht</t>
  </si>
  <si>
    <t>1540210751-705</t>
  </si>
  <si>
    <t>Pauwstraat 26 I 3512 TG Utrecht</t>
  </si>
  <si>
    <t>€ 125.000 k.k.</t>
  </si>
  <si>
    <t>25 m² 1 kamer</t>
  </si>
  <si>
    <t>1540210828-924</t>
  </si>
  <si>
    <t>Homeruslaan 5 2 3581 MA Utrecht</t>
  </si>
  <si>
    <t>59 m² 3 kamers</t>
  </si>
  <si>
    <t>1540210667-462</t>
  </si>
  <si>
    <t>Obrechtstraat 43 bis 3572 EC Utrecht</t>
  </si>
  <si>
    <t>€ 928.000 k.k.</t>
  </si>
  <si>
    <t>232 m² 7 kamers</t>
  </si>
  <si>
    <t>1540210656-440</t>
  </si>
  <si>
    <t>Croeselaan 279 Bis 3521 BS Utrecht</t>
  </si>
  <si>
    <t>1540210767-754</t>
  </si>
  <si>
    <t>Alexander Numankade 23 A 3572 KP Utrecht</t>
  </si>
  <si>
    <t>€ 249.490 k.k.</t>
  </si>
  <si>
    <t>1540210736-660</t>
  </si>
  <si>
    <t>Groenedijk 7 B 3544 AB Utrecht</t>
  </si>
  <si>
    <t>178 m² / 1.300 m² 6 kamers</t>
  </si>
  <si>
    <t>1540210798-836</t>
  </si>
  <si>
    <t>Riouwstraat 68 3531 CZ Utrecht</t>
  </si>
  <si>
    <t>68 m² / 60 m² 4 kamers</t>
  </si>
  <si>
    <t>1540210667-464</t>
  </si>
  <si>
    <t>Engelen van Pijlsweertstraat 13 3513 GD Utrecht</t>
  </si>
  <si>
    <t>78 m² 5 kamers</t>
  </si>
  <si>
    <t>1540210610-290</t>
  </si>
  <si>
    <t>Mariaplaats 53 3511 LM Utrecht</t>
  </si>
  <si>
    <t>€ 1.500.000 k.k.</t>
  </si>
  <si>
    <t>258 m² / 114 m² 9 kamers</t>
  </si>
  <si>
    <t>1540210885-1101</t>
  </si>
  <si>
    <t>Huizingalaan 187 189-191 3572 LL Utrecht</t>
  </si>
  <si>
    <t>€ 3.000.000 k.k.</t>
  </si>
  <si>
    <t>1.209 m² / 252 m² 18 kamers</t>
  </si>
  <si>
    <t>1540210751-710</t>
  </si>
  <si>
    <t>F.C. Dondersstraat 17 J 3572 JA Utrecht</t>
  </si>
  <si>
    <t>165 m² 5 kamers</t>
  </si>
  <si>
    <t>1540210721-618</t>
  </si>
  <si>
    <t>Adriaan Mulderstraat 3 3 3555 BL Utrecht</t>
  </si>
  <si>
    <t>€ 70.000 v.o.n.</t>
  </si>
  <si>
    <t>1540210605-270</t>
  </si>
  <si>
    <t>Twijnstraat 25 3511 ZG Utrecht</t>
  </si>
  <si>
    <t>149 m² / 181 m² 8 kamers</t>
  </si>
  <si>
    <t>1540210818-904</t>
  </si>
  <si>
    <t>Blauwkapelseweg 9 3572 KA Utrecht</t>
  </si>
  <si>
    <t>116 m² / 96 m² 4 kamers</t>
  </si>
  <si>
    <t>1540210772-770</t>
  </si>
  <si>
    <t>Vleutenseweg 82 3532 HM Utrecht</t>
  </si>
  <si>
    <t>1540210839-953</t>
  </si>
  <si>
    <t>Dodt van Flensburglaan 181 3515 EE Utrecht</t>
  </si>
  <si>
    <t>116 m² / 101 m² 7 kamers</t>
  </si>
  <si>
    <t>1540210698-561</t>
  </si>
  <si>
    <t>Sfinxdreef 25 3564 CN Utrecht</t>
  </si>
  <si>
    <t>€ 22.500 k.k.</t>
  </si>
  <si>
    <t>22 m²</t>
  </si>
  <si>
    <t>1540210656-433</t>
  </si>
  <si>
    <t>32 m² 1 kamer</t>
  </si>
  <si>
    <t>1540210813-889</t>
  </si>
  <si>
    <t>W.A. Vultostraat 105 3523 TV Utrecht</t>
  </si>
  <si>
    <t>114 m² / 93 m² 6 kamers</t>
  </si>
  <si>
    <t>1540210687-522</t>
  </si>
  <si>
    <t>Adriaanstraat 33 bis 3581 SB Utrecht</t>
  </si>
  <si>
    <t>1540210849-987</t>
  </si>
  <si>
    <t>Nauwe Watersteeg 1 3511 ZJ Utrecht</t>
  </si>
  <si>
    <t>€ 1.275.000 k.k.</t>
  </si>
  <si>
    <t>246 m² / 116 m² 6 kamers</t>
  </si>
  <si>
    <t>1540210708-579</t>
  </si>
  <si>
    <t>Greenville (Bouwnr. 116) 3541 DZ Utrecht</t>
  </si>
  <si>
    <t>€ 799.500 v.o.n.</t>
  </si>
  <si>
    <t>166 m² 4 kamers</t>
  </si>
  <si>
    <t>1540210808-868</t>
  </si>
  <si>
    <t>Chathams 39 3524 JS Utrecht</t>
  </si>
  <si>
    <t>€ 279.500 k.k.</t>
  </si>
  <si>
    <t>101 m² / 102 m² 5 kamers</t>
  </si>
  <si>
    <t>1540210736-653</t>
  </si>
  <si>
    <t>Springweg 53 C 3511 VJ Utrecht</t>
  </si>
  <si>
    <t>€ 205.000 k.k.</t>
  </si>
  <si>
    <t>39 m² 1 kamer</t>
  </si>
  <si>
    <t>1540210900-1138</t>
  </si>
  <si>
    <t>Stobberakplantsoen 10 3544 TD Utrecht</t>
  </si>
  <si>
    <t>129 m² / 280 m² 5 kamers</t>
  </si>
  <si>
    <t>1540210672-474</t>
  </si>
  <si>
    <t>Mauritsstraat 78 3583 HT Utrecht</t>
  </si>
  <si>
    <t>228 m² / 152 m² 9 kamers</t>
  </si>
  <si>
    <t>1540210751-699</t>
  </si>
  <si>
    <t>Royaards van den Hamkade 215 3552 CL Utrecht</t>
  </si>
  <si>
    <t>1540210667-461</t>
  </si>
  <si>
    <t>Biltstraat 68 bis B 3572 BG Utrecht</t>
  </si>
  <si>
    <t>1540210880-1078</t>
  </si>
  <si>
    <t>Glenn Millerpad 3 3543 GE Utrecht</t>
  </si>
  <si>
    <t>1540210777-779</t>
  </si>
  <si>
    <t>Cabrallaan 15 3526 EW Utrecht</t>
  </si>
  <si>
    <t>93 m² / 128 m² 4 kamers</t>
  </si>
  <si>
    <t>1540210662-456</t>
  </si>
  <si>
    <t>Ahornstraat 48 3552 CH Utrecht</t>
  </si>
  <si>
    <t>118 m² / 90 m² 5 kamers</t>
  </si>
  <si>
    <t>1540210610-277</t>
  </si>
  <si>
    <t>Rauwenhofflaan 8 3571 HG Utrecht</t>
  </si>
  <si>
    <t>1540210662-449</t>
  </si>
  <si>
    <t>Burgemeester van Tuyllkade 65 bis 3553 AC Utrecht</t>
  </si>
  <si>
    <t>1540210905-1149</t>
  </si>
  <si>
    <t>Jutfaseweg 126 3522 HK Utrecht</t>
  </si>
  <si>
    <t>1540210818-900</t>
  </si>
  <si>
    <t>Herenstraat 21 C 3512 KA Utrecht</t>
  </si>
  <si>
    <t>1540210615-304</t>
  </si>
  <si>
    <t>Opaalweg 89 3523 RL Utrecht</t>
  </si>
  <si>
    <t>1540210828-935</t>
  </si>
  <si>
    <t>Musicalkade 14 3543 CL Utrecht</t>
  </si>
  <si>
    <t>147 m² / 166 m² 5 kamers</t>
  </si>
  <si>
    <t>1540210595-237</t>
  </si>
  <si>
    <t>Rijnvliet (Bouwnr. 317) 3545 EA Utrecht</t>
  </si>
  <si>
    <t>€ 676.000 v.o.n.</t>
  </si>
  <si>
    <t>176 m² 5 kamers</t>
  </si>
  <si>
    <t>1540210651-412</t>
  </si>
  <si>
    <t>Minstraat 57 3582 CB Utrecht</t>
  </si>
  <si>
    <t>59 m² / 75 m² 3 kamers</t>
  </si>
  <si>
    <t>1540210823-911</t>
  </si>
  <si>
    <t>Ampèrestraat 2 BIS 3553 CL Utrecht</t>
  </si>
  <si>
    <t>1540210803-853</t>
  </si>
  <si>
    <t>Fregatstraat 12 3534 RE Utrecht</t>
  </si>
  <si>
    <t>92 m² / 93 m² 4 kamers</t>
  </si>
  <si>
    <t>1540210808-866</t>
  </si>
  <si>
    <t>Crouweldijk 30 3544 MX Utrecht</t>
  </si>
  <si>
    <t>142 m² / 160 m² 5 kamers</t>
  </si>
  <si>
    <t>1540210757-721</t>
  </si>
  <si>
    <t>Hermannus Elconiusstraat 18 bis 3553 VD Utrecht</t>
  </si>
  <si>
    <t>91 m² 4 kamers</t>
  </si>
  <si>
    <t>1540210703-563</t>
  </si>
  <si>
    <t>Ravellaan 246 3533 JP Utrecht</t>
  </si>
  <si>
    <t>1540210839-965</t>
  </si>
  <si>
    <t>Cervanteslaan 21 3533 HS Utrecht</t>
  </si>
  <si>
    <t>1540210767-751</t>
  </si>
  <si>
    <t>Von Kleistlaan 19 III 3533 BB Utrecht</t>
  </si>
  <si>
    <t>89 m² 4 kamers</t>
  </si>
  <si>
    <t>1540210605-263</t>
  </si>
  <si>
    <t>Oude Kerkstraat 26 3572 TJ Utrecht</t>
  </si>
  <si>
    <t>212 m² / 64 m² 6 kamers</t>
  </si>
  <si>
    <t>1540210916-1186</t>
  </si>
  <si>
    <t>Everard Meijsterlaan 103 3533 CL Utrecht</t>
  </si>
  <si>
    <t>172 m² / 252 m² 7 kamers</t>
  </si>
  <si>
    <t>1540210767-743</t>
  </si>
  <si>
    <t>Vasco da Gamalaan 149 3526 ES Utrecht</t>
  </si>
  <si>
    <t>1540210751-708</t>
  </si>
  <si>
    <t>Grifthoek 133 3514 JK Utrecht</t>
  </si>
  <si>
    <t>1540210757-719</t>
  </si>
  <si>
    <t>Loderlaan 15 3527 KA Utrecht</t>
  </si>
  <si>
    <t>74 m² 4 kamers</t>
  </si>
  <si>
    <t>1540210808-870</t>
  </si>
  <si>
    <t>Hooft Graaflandstraat 181 3525 VS Utrecht</t>
  </si>
  <si>
    <t>€ 409.000 k.k.</t>
  </si>
  <si>
    <t>105 m² / 99 m² 5 kamers</t>
  </si>
  <si>
    <t>1540210792-825</t>
  </si>
  <si>
    <t>Fultonstraat 12 3553 GG Utrecht</t>
  </si>
  <si>
    <t>€ 149.000 k.k.</t>
  </si>
  <si>
    <t>42 m² 1 kamer</t>
  </si>
  <si>
    <t>1540210746-686</t>
  </si>
  <si>
    <t>Stadhouderslaan 7 3583 JA Utrecht</t>
  </si>
  <si>
    <t>182 m² / 143 m² 6 kamers</t>
  </si>
  <si>
    <t>1540210672-476</t>
  </si>
  <si>
    <t>Nicolaas Ruychaverstraat 76 B 3554 XT Utrecht</t>
  </si>
  <si>
    <t>107 m² / 75 m² 4 kamers</t>
  </si>
  <si>
    <t>1540210757-718</t>
  </si>
  <si>
    <t>Kneppelhoutstraat 23 3532 EW Utrecht</t>
  </si>
  <si>
    <t>€ 179.000 k.k.</t>
  </si>
  <si>
    <t>36 m² 2 kamers</t>
  </si>
  <si>
    <t>1540210605-271</t>
  </si>
  <si>
    <t>Kwartelstraat 50 3514 EX Utrecht</t>
  </si>
  <si>
    <t>138 m² / 93 m² 5 kamers</t>
  </si>
  <si>
    <t>1540210762-735</t>
  </si>
  <si>
    <t>Julianaweg 423 3523 XE Utrecht</t>
  </si>
  <si>
    <t>101 m² / 51 m² 5 kamers</t>
  </si>
  <si>
    <t>1540210911-1176</t>
  </si>
  <si>
    <t>Hooft Graaflandstraat 113 Bis 3525 VP Utrecht</t>
  </si>
  <si>
    <t>108 m² 5 kamers</t>
  </si>
  <si>
    <t>1540210741-675</t>
  </si>
  <si>
    <t>Oorsprongpark 8 3581 ET Utrecht</t>
  </si>
  <si>
    <t>€ 2.400.000 k.k.</t>
  </si>
  <si>
    <t>395 m² / 263 m² 10 kamers</t>
  </si>
  <si>
    <t>1540210864-1028</t>
  </si>
  <si>
    <t>Balistraat 76 3531 PZ Utrecht</t>
  </si>
  <si>
    <t>€ 70.000 k.k.</t>
  </si>
  <si>
    <t>14 m² 1 kamer</t>
  </si>
  <si>
    <t>1540210798-833</t>
  </si>
  <si>
    <t>Gageldijk 85 3566 MG Utrecht</t>
  </si>
  <si>
    <t>164 m² / 2.425 m² 6 kamers</t>
  </si>
  <si>
    <t>1540210900-1146</t>
  </si>
  <si>
    <t>Prof. J.W. Dieperinklaan 2 3571 WK Utrecht</t>
  </si>
  <si>
    <t>180 m² / 159 m² 7 kamers</t>
  </si>
  <si>
    <t>1540210803-855</t>
  </si>
  <si>
    <t>Hijmans van den Berghlaan 42 3571 PB Utrecht</t>
  </si>
  <si>
    <t>1540210692-538</t>
  </si>
  <si>
    <t>Moesstraat 4 3581 RR Utrecht</t>
  </si>
  <si>
    <t>54 m² / 38 m² 2 kamers</t>
  </si>
  <si>
    <t>1540210692-540</t>
  </si>
  <si>
    <t>Daendelsstraat 2 C 3531 GD Utrecht</t>
  </si>
  <si>
    <t>96 m² / 75 m² 6 kamers</t>
  </si>
  <si>
    <t>1540210787-809</t>
  </si>
  <si>
    <t>Pieter Nieuwlandstraat 108 3514 HL Utrecht</t>
  </si>
  <si>
    <t>126 m² / 99 m² 6 kamers</t>
  </si>
  <si>
    <t>1540210692-532</t>
  </si>
  <si>
    <t>Prof. Ritzema Boslaan 94 3571 CV Utrecht</t>
  </si>
  <si>
    <t>138 m² / 138 m² 7 kamers</t>
  </si>
  <si>
    <t>1540210746-683</t>
  </si>
  <si>
    <t>Prinses Beatrixplein 10 3523 VD Utrecht</t>
  </si>
  <si>
    <t>118 m² / 130 m² 5 kamers</t>
  </si>
  <si>
    <t>1540210672-483</t>
  </si>
  <si>
    <t>Amaliastraat 53 B 3522 AT Utrecht</t>
  </si>
  <si>
    <t>37 m² 2 kamers</t>
  </si>
  <si>
    <t>1540210757-712</t>
  </si>
  <si>
    <t>Sapoerahof 14 3531 WJ Utrecht</t>
  </si>
  <si>
    <t>118 m² / 115 m² 6 kamers</t>
  </si>
  <si>
    <t>1540210656-438</t>
  </si>
  <si>
    <t>1e Atjehstraat 10 3531 SK Utrecht</t>
  </si>
  <si>
    <t>93 m² / 68 m² 4 kamers</t>
  </si>
  <si>
    <t>1540210631-364</t>
  </si>
  <si>
    <t>Eelderdiephof 98 3521 DM Utrecht</t>
  </si>
  <si>
    <t>1540210636-369</t>
  </si>
  <si>
    <t>M. de Klerkstraat 2 A 3555 CN Utrecht</t>
  </si>
  <si>
    <t>69 m² / 98 m² 4 kamers</t>
  </si>
  <si>
    <t>1540210741-681</t>
  </si>
  <si>
    <t>Prinsenstraat 20 3581 JS Utrecht</t>
  </si>
  <si>
    <t>1540210595-233</t>
  </si>
  <si>
    <t>Rijnvliet (Bouwnr. 375) 3545 EA Utrecht</t>
  </si>
  <si>
    <t>€ 281.000 v.o.n.</t>
  </si>
  <si>
    <t>1540210864-1040</t>
  </si>
  <si>
    <t>Amsterdamsestraatweg 873 3555 HL Utrecht</t>
  </si>
  <si>
    <t>170 m² / 280 m² 7 kamers</t>
  </si>
  <si>
    <t>1540210641-393</t>
  </si>
  <si>
    <t>Burgemeester Norbruislaan 568 3555 EZ Utrecht</t>
  </si>
  <si>
    <t>181 m² / 57 m² 6 kamers</t>
  </si>
  <si>
    <t>1540210621-336</t>
  </si>
  <si>
    <t>Karel Doormanlaan 46 3572 NE Utrecht</t>
  </si>
  <si>
    <t>€ 292.500 k.k.</t>
  </si>
  <si>
    <t>1540210600-248</t>
  </si>
  <si>
    <t>Mauritsstraat 14 bis 3583 HP Utrecht</t>
  </si>
  <si>
    <t>129 m² 5 kamers</t>
  </si>
  <si>
    <t>1540210808-876</t>
  </si>
  <si>
    <t>Ray Charlesstraat 7 3543 EK Utrecht</t>
  </si>
  <si>
    <t>126 m² / 111 m² 5 kamers</t>
  </si>
  <si>
    <t>1540210736-654</t>
  </si>
  <si>
    <t>Javastraat 14 3531 PP Utrecht</t>
  </si>
  <si>
    <t>€ 220.000 k.k.</t>
  </si>
  <si>
    <t>1540210880-1081</t>
  </si>
  <si>
    <t>Johannes Camphuysstraat 11 3531 SB Utrecht</t>
  </si>
  <si>
    <t>€ 239.500 k.k.</t>
  </si>
  <si>
    <t>1540210672-481</t>
  </si>
  <si>
    <t>W.A. Vultostraat 144 3523 TZ Utrecht</t>
  </si>
  <si>
    <t>98 m² / 84 m² 5 kamers</t>
  </si>
  <si>
    <t>1540210890-1105</t>
  </si>
  <si>
    <t>Amaliastraat 80 3522 AW Utrecht</t>
  </si>
  <si>
    <t>99 m² / 68 m² 5 kamers</t>
  </si>
  <si>
    <t>1540210813-885</t>
  </si>
  <si>
    <t>Prof. Melchior Treublaan 9 3571 JA Utrecht</t>
  </si>
  <si>
    <t>1540210721-621</t>
  </si>
  <si>
    <t>the Nature (Bouwnr. 11) 3541 BH Utrecht</t>
  </si>
  <si>
    <t>€ 273.900 v.o.n.</t>
  </si>
  <si>
    <t>59 m² 2 kamers</t>
  </si>
  <si>
    <t>1540210667-466</t>
  </si>
  <si>
    <t>Herautsingel 32 3525 GK Utrecht</t>
  </si>
  <si>
    <t>€ 167.500 k.k.</t>
  </si>
  <si>
    <t>1540210626-349</t>
  </si>
  <si>
    <t>Talmalaan 61 3515 CW Utrecht</t>
  </si>
  <si>
    <t>138 m² / 54 m² 6 kamers</t>
  </si>
  <si>
    <t>1540210615-298</t>
  </si>
  <si>
    <t>Bouwnummer (Bouwnr. 37) 3528 BC Utrecht</t>
  </si>
  <si>
    <t>€ 384.000 v.o.n.</t>
  </si>
  <si>
    <t>115 m² 6 kamers</t>
  </si>
  <si>
    <t>1540210849-996</t>
  </si>
  <si>
    <t>Spinozaweg 88 3532 SJ Utrecht</t>
  </si>
  <si>
    <t>€ 169.500 k.k.</t>
  </si>
  <si>
    <t>46 m² 3 kamers</t>
  </si>
  <si>
    <t>1540210726-623</t>
  </si>
  <si>
    <t>De Parkwachter (Bouwnr. 28) 3541 Utrecht</t>
  </si>
  <si>
    <t>€ 494.000 v.o.n.</t>
  </si>
  <si>
    <t>119 m² 4 kamers</t>
  </si>
  <si>
    <t>1540210682-515</t>
  </si>
  <si>
    <t>Van Lynden van Sandenburglaan 16 3571 BC Utrecht</t>
  </si>
  <si>
    <t>119 m² / 142 m² 6 kamers</t>
  </si>
  <si>
    <t>1540210767-744</t>
  </si>
  <si>
    <t>Jansveld 2 A 3512 BG Utrecht</t>
  </si>
  <si>
    <t>1540210615-297</t>
  </si>
  <si>
    <t>Antonius Matthaeuslaan 10 3515 AS Utrecht</t>
  </si>
  <si>
    <t>74 m² 2 kamers</t>
  </si>
  <si>
    <t>1540210875-1070</t>
  </si>
  <si>
    <t>Domstraat 54 3512 JB Utrecht</t>
  </si>
  <si>
    <t>1540210869-1055</t>
  </si>
  <si>
    <t>Paramaribostraat 78 3531 KT Utrecht</t>
  </si>
  <si>
    <t>1540210751-701</t>
  </si>
  <si>
    <t>Lauwerecht 6 3514 BB Utrecht</t>
  </si>
  <si>
    <t>1540210590-229</t>
  </si>
  <si>
    <t>Torreslaan 3 3526 EZ Utrecht</t>
  </si>
  <si>
    <t>1540210803-848</t>
  </si>
  <si>
    <t>Beukstraat 67 3581 XE Utrecht</t>
  </si>
  <si>
    <t>82 m² / 61 m² 4 kamers</t>
  </si>
  <si>
    <t>1540210890-1104</t>
  </si>
  <si>
    <t>Nieuwegracht 31 3512 LD Utrecht</t>
  </si>
  <si>
    <t>236 m² / 67 m² 7 kamers</t>
  </si>
  <si>
    <t>1540210818-903</t>
  </si>
  <si>
    <t>Meredith Willsonstraat 103 3543 DN Utrecht</t>
  </si>
  <si>
    <t>152 m² / 162 m² 5 kamers</t>
  </si>
  <si>
    <t>1540210808-865</t>
  </si>
  <si>
    <t>Alexander Numankade 213 3572 KX Utrecht</t>
  </si>
  <si>
    <t>81 m² / 91 m² 5 kamers</t>
  </si>
  <si>
    <t>1540210787-808</t>
  </si>
  <si>
    <t>Charlotte van Pallandthof 12 3541 VH Utrecht</t>
  </si>
  <si>
    <t>122 m² / 147 m² 5 kamers</t>
  </si>
  <si>
    <t>1540210615-303</t>
  </si>
  <si>
    <t>Westerkade 6 7 3511 HA Utrecht</t>
  </si>
  <si>
    <t>268 m² 9 kamers</t>
  </si>
  <si>
    <t>1540210869-1049</t>
  </si>
  <si>
    <t>Nieuwekamp 7 3512 KN Utrecht</t>
  </si>
  <si>
    <t>175 m² 6 kamers</t>
  </si>
  <si>
    <t>1540210803-847</t>
  </si>
  <si>
    <t>Predikherenstraat 18 18 A 3512 TN Utrecht</t>
  </si>
  <si>
    <t>104 m² / 43 m² 5 kamers</t>
  </si>
  <si>
    <t>1540210864-1029</t>
  </si>
  <si>
    <t>Wagendwarsstraat 34 3581 WL Utrecht</t>
  </si>
  <si>
    <t>84 m² / 59 m² 4 kamers</t>
  </si>
  <si>
    <t>1540210646-402</t>
  </si>
  <si>
    <t>Nieuwe Koekoekstraat 117 bis A 3514 ED Utrecht</t>
  </si>
  <si>
    <t>1540210667-467</t>
  </si>
  <si>
    <t>Concordiastraat 57 3551 EL Utrecht</t>
  </si>
  <si>
    <t>71 m² / 96 m² 4 kamers</t>
  </si>
  <si>
    <t>1540210641-394</t>
  </si>
  <si>
    <t>Eikstraat 29 3581 XJ Utrecht</t>
  </si>
  <si>
    <t>70 m² / 70 m² 3 kamers</t>
  </si>
  <si>
    <t>1540210823-919</t>
  </si>
  <si>
    <t>F.C. Dondersstraat 20 -1 3572 JH Utrecht</t>
  </si>
  <si>
    <t>€ 124.500 k.k.</t>
  </si>
  <si>
    <t>1540210703-568</t>
  </si>
  <si>
    <t>Koekoekstraat 8 3514 CW Utrecht</t>
  </si>
  <si>
    <t>120 m² / 59 m² 5 kamers</t>
  </si>
  <si>
    <t>1540210834-943</t>
  </si>
  <si>
    <t>Draaiweg 58 3515 EM Utrecht</t>
  </si>
  <si>
    <t>99 m² / 62 m² 3 kamers</t>
  </si>
  <si>
    <t>1540210615-296</t>
  </si>
  <si>
    <t>Einsteindreef 27 3562 XR Utrecht</t>
  </si>
  <si>
    <t>€ 247.500 k.k.</t>
  </si>
  <si>
    <t>1540210839-959</t>
  </si>
  <si>
    <t>Gerhardstraat 2 3555 WK Utrecht</t>
  </si>
  <si>
    <t>128 m² / 107 m² 4 kamers</t>
  </si>
  <si>
    <t>1540210692-535</t>
  </si>
  <si>
    <t>Basilicumstraat 3 3544 BX Utrecht</t>
  </si>
  <si>
    <t>87 m² / 113 m² 4 kamers</t>
  </si>
  <si>
    <t>1540210828-931</t>
  </si>
  <si>
    <t>P.C. Hooftstraat 18 3521 VK Utrecht</t>
  </si>
  <si>
    <t>1540210646-410</t>
  </si>
  <si>
    <t>Balijelaan 39 BIS 3521 GL Utrecht</t>
  </si>
  <si>
    <t>€ 330.000 k.k.</t>
  </si>
  <si>
    <t>1540210787-804</t>
  </si>
  <si>
    <t>Koningsweg 45 E 3582 GB Utrecht</t>
  </si>
  <si>
    <t>€ 430.000 k.k.</t>
  </si>
  <si>
    <t>1540210808-872</t>
  </si>
  <si>
    <t>Amerongseberg 31 3524 LL Utrecht</t>
  </si>
  <si>
    <t>102 m² / 110 m² 5 kamers</t>
  </si>
  <si>
    <t>1540210646-407</t>
  </si>
  <si>
    <t>Petemoederslaan 8 bis 3552 AG Utrecht</t>
  </si>
  <si>
    <t>1540210662-447</t>
  </si>
  <si>
    <t>Balijelaan 27 bis 3521 GK Utrecht</t>
  </si>
  <si>
    <t>66 m² 2 kamers</t>
  </si>
  <si>
    <t>1540210782-796</t>
  </si>
  <si>
    <t>Druifstraat 28 3552 VD Utrecht</t>
  </si>
  <si>
    <t>117 m² / 121 m² 5 kamers</t>
  </si>
  <si>
    <t>1540210849-984</t>
  </si>
  <si>
    <t>Lombokstraat 8 3531 RD Utrecht</t>
  </si>
  <si>
    <t>64 m² / 54 m² 3 kamers</t>
  </si>
  <si>
    <t>1540210682-514</t>
  </si>
  <si>
    <t>Runstraat 4 A 3522 RH Utrecht</t>
  </si>
  <si>
    <t>100 m² / 102 m² 4 kamers</t>
  </si>
  <si>
    <t>1540210849-985</t>
  </si>
  <si>
    <t>Croeselaan 387 3521 BX Utrecht</t>
  </si>
  <si>
    <t>€ 785.000 k.k.</t>
  </si>
  <si>
    <t>245 m² / 126 m² 8 kamers</t>
  </si>
  <si>
    <t>1540210798-841</t>
  </si>
  <si>
    <t>Stationsstraat 28 3511 EE Utrecht</t>
  </si>
  <si>
    <t>1540210656-431</t>
  </si>
  <si>
    <t>Van Weerden Poelmanlaan 138 3527 KS Utrecht</t>
  </si>
  <si>
    <t>1540210703-575</t>
  </si>
  <si>
    <t>Singelstraat 4 4bis 7 3513 BN Utrecht</t>
  </si>
  <si>
    <t>€ 135.000 k.k.</t>
  </si>
  <si>
    <t>1540210741-671</t>
  </si>
  <si>
    <t>Oude Kerkstraat 28 Bis 3572 TK Utrecht</t>
  </si>
  <si>
    <t>€ 139.500 v.o.n.</t>
  </si>
  <si>
    <t>1540210839-962</t>
  </si>
  <si>
    <t>Van Humboldtstraat 11 3514 GL Utrecht</t>
  </si>
  <si>
    <t>1540210880-1086</t>
  </si>
  <si>
    <t>Sweder van Zuylenweg 69 3553 HC Utrecht</t>
  </si>
  <si>
    <t>93 m² / 91 m² 5 kamers</t>
  </si>
  <si>
    <t>1540210823-910</t>
  </si>
  <si>
    <t>Adikade 6 3531 WS Utrecht</t>
  </si>
  <si>
    <t>€ 389.500 k.k.</t>
  </si>
  <si>
    <t>1540210708-587</t>
  </si>
  <si>
    <t>Croesestraat 120 3522 AJ Utrecht</t>
  </si>
  <si>
    <t>85 m² / 98 m² 3 kamers</t>
  </si>
  <si>
    <t>1540210615-294</t>
  </si>
  <si>
    <t>Luzernevlinder 82 3544 DK Utrecht</t>
  </si>
  <si>
    <t>1540210834-938</t>
  </si>
  <si>
    <t>Stanleylaan 332 3526 TW Utrecht</t>
  </si>
  <si>
    <t>95 m² / 136 m² 4 kamers</t>
  </si>
  <si>
    <t>1540210651-424</t>
  </si>
  <si>
    <t>Talmalaan 131 3515 CX Utrecht</t>
  </si>
  <si>
    <t>139 m² / 82 m² 5 kamers</t>
  </si>
  <si>
    <t>1540210875-1068</t>
  </si>
  <si>
    <t>Laan van Nieuw-Guinea 88 3531 JM Utrecht</t>
  </si>
  <si>
    <t>111 m² / 81 m² 4 kamers</t>
  </si>
  <si>
    <t>1540210864-1041</t>
  </si>
  <si>
    <t>Majellapark 37 3532 CT Utrecht</t>
  </si>
  <si>
    <t>€ 519.000 k.k.</t>
  </si>
  <si>
    <t>114 m² / 114 m² 7 kamers</t>
  </si>
  <si>
    <t>1540210787-813</t>
  </si>
  <si>
    <t>Hysophof 2 3544 BV Utrecht</t>
  </si>
  <si>
    <t>87 m² / 119 m² 4 kamers</t>
  </si>
  <si>
    <t>1540210854-1003</t>
  </si>
  <si>
    <t>Lester Youngpad 16 3543 GJ Utrecht</t>
  </si>
  <si>
    <t>153 m² / 109 m² 6 kamers</t>
  </si>
  <si>
    <t>1540210849-995</t>
  </si>
  <si>
    <t>Frans Halsstraat 22 C 3583 BP Utrecht</t>
  </si>
  <si>
    <t>€ 780.000 k.k.</t>
  </si>
  <si>
    <t>161 m² / 180 m² 6 kamers</t>
  </si>
  <si>
    <t>1540210651-416</t>
  </si>
  <si>
    <t>Van Meursstraat 61 3532 CH Utrecht</t>
  </si>
  <si>
    <t>105 m² / 112 m² 5 kamers</t>
  </si>
  <si>
    <t>1540210715-605</t>
  </si>
  <si>
    <t>Molukkenstraat 13 3531 WB Utrecht</t>
  </si>
  <si>
    <t>1540210890-1112</t>
  </si>
  <si>
    <t>Lauwerecht 44 bis 3515 GS Utrecht</t>
  </si>
  <si>
    <t>1540210905-1151</t>
  </si>
  <si>
    <t>Hijmans van den Berghlaan 174 3571 PG Utrecht</t>
  </si>
  <si>
    <t>1540210726-627</t>
  </si>
  <si>
    <t>Biltstraat 120 3572 BK Utrecht</t>
  </si>
  <si>
    <t>142 m² 5 kamers</t>
  </si>
  <si>
    <t>1540210890-1110</t>
  </si>
  <si>
    <t>Croesestraat 75 bis 3522 AC Utrecht</t>
  </si>
  <si>
    <t>1540210677-496</t>
  </si>
  <si>
    <t>Fivelingo 137 3524 BL Utrecht</t>
  </si>
  <si>
    <t>1540210869-1045</t>
  </si>
  <si>
    <t>Domstraat 50 + 54 3512 JB Utrecht</t>
  </si>
  <si>
    <t>€ 778.000 k.k.</t>
  </si>
  <si>
    <t>1540210782-799</t>
  </si>
  <si>
    <t>Heinrich Bertéstraat 36 3543 JM Utrecht</t>
  </si>
  <si>
    <t>169 m² / 396 m² 5 kamers</t>
  </si>
  <si>
    <t>1540210834-944</t>
  </si>
  <si>
    <t>H. Copijnlaan 22 3571 VH Utrecht</t>
  </si>
  <si>
    <t>120 m² / 128 m² 7 kamers</t>
  </si>
  <si>
    <t>1540210656-427</t>
  </si>
  <si>
    <t>Prof. Hugo de Vrieslaan 51 3571 GG Utrecht</t>
  </si>
  <si>
    <t>131 m² / 156 m² 6 kamers</t>
  </si>
  <si>
    <t>1540210916-1188</t>
  </si>
  <si>
    <t>Troelstralaan 62 3515 CJ Utrecht</t>
  </si>
  <si>
    <t>156 m² / 130 m² 5 kamers</t>
  </si>
  <si>
    <t>1540210731-649</t>
  </si>
  <si>
    <t>Shakespeareplein 2 3533 DA Utrecht</t>
  </si>
  <si>
    <t>150 m² 4 kamers</t>
  </si>
  <si>
    <t>1540210911-1172</t>
  </si>
  <si>
    <t>Marnixlaan 236 3552 HK Utrecht</t>
  </si>
  <si>
    <t>1540210890-1108</t>
  </si>
  <si>
    <t>2e Daalsedijk 52 3551 EK Utrecht</t>
  </si>
  <si>
    <t>€ 397.500 k.k.</t>
  </si>
  <si>
    <t>110 m² / 77 m² 4 kamers</t>
  </si>
  <si>
    <t>1540210703-573</t>
  </si>
  <si>
    <t>M.A. de Ruyterstraat 3 3572 XM Utrecht</t>
  </si>
  <si>
    <t>135 m² 5 kamers</t>
  </si>
  <si>
    <t>1540210626-342</t>
  </si>
  <si>
    <t>Groeneweg 4 B 3531 VE Utrecht</t>
  </si>
  <si>
    <t>117 m² / 100 m² 6 kamers</t>
  </si>
  <si>
    <t>1540210844-978</t>
  </si>
  <si>
    <t>San Marinostraat 163 3541 DS Utrecht</t>
  </si>
  <si>
    <t>1540210777-775</t>
  </si>
  <si>
    <t>Jan van den Doemstraat 70 3515 XS Utrecht</t>
  </si>
  <si>
    <t>92 m² / 114 m² 5 kamers</t>
  </si>
  <si>
    <t>1540210698-555</t>
  </si>
  <si>
    <t>Lange Lauwerstraat 3511 AN Utrecht</t>
  </si>
  <si>
    <t>€ 40.000 k.k.</t>
  </si>
  <si>
    <t>89 m²</t>
  </si>
  <si>
    <t>1540210813-880</t>
  </si>
  <si>
    <t>Walcheren 57 3524 ZR Utrecht</t>
  </si>
  <si>
    <t>1540210746-692</t>
  </si>
  <si>
    <t>Tolsteegsingel 5 3582 AC Utrecht</t>
  </si>
  <si>
    <t>1540210864-1033</t>
  </si>
  <si>
    <t>Richard Wagnerlaan 22 3533 GD Utrecht</t>
  </si>
  <si>
    <t>€ 1.750.000 k.k.</t>
  </si>
  <si>
    <t>329 m² / 445 m² 8 kamers</t>
  </si>
  <si>
    <t>1540210641-385</t>
  </si>
  <si>
    <t>Gresnigtstraat 5 3552 XX Utrecht</t>
  </si>
  <si>
    <t>47 m² 2 kamers</t>
  </si>
  <si>
    <t>1540210746-696</t>
  </si>
  <si>
    <t>Battutalaan 719 3526 VT Utrecht</t>
  </si>
  <si>
    <t>1540210610-291</t>
  </si>
  <si>
    <t>Van Asch van Wijckskade 21 21-Bis 3512 VR Utrecht</t>
  </si>
  <si>
    <t>€ 1.900.000 k.k.</t>
  </si>
  <si>
    <t>417 m² / 255 m² 11 kamers</t>
  </si>
  <si>
    <t>1540210777-776</t>
  </si>
  <si>
    <t>Pijlstraat 18 3552 XP Utrecht</t>
  </si>
  <si>
    <t>81 m² / 69 m² 3 kamers</t>
  </si>
  <si>
    <t>1540210641-387</t>
  </si>
  <si>
    <t>Pagelaan 30 3525 GW Utrecht</t>
  </si>
  <si>
    <t>1540210792-817</t>
  </si>
  <si>
    <t>Ondiep 200 bis 3552 EN Utrecht</t>
  </si>
  <si>
    <t>1540210682-509</t>
  </si>
  <si>
    <t>Bertha von Suttnerlaan 33 3527 WC Utrecht</t>
  </si>
  <si>
    <t>104 m² / 168 m² 6 kamers</t>
  </si>
  <si>
    <t>1540210905-1157</t>
  </si>
  <si>
    <t>Zandhofsestraat 126 a 3572 GK Utrecht</t>
  </si>
  <si>
    <t>31 m² 2 kamers</t>
  </si>
  <si>
    <t>1540210662-452</t>
  </si>
  <si>
    <t>Albert van Dalsumlaan 435 3584 HK Utrecht</t>
  </si>
  <si>
    <t>1540210782-787</t>
  </si>
  <si>
    <t>Adriaan van Zwietenstraat 2 3554 XG Utrecht</t>
  </si>
  <si>
    <t>73 m² / 97 m² 4 kamers</t>
  </si>
  <si>
    <t>1540210677-500</t>
  </si>
  <si>
    <t>Eikstraat 59 3581 XK Utrecht</t>
  </si>
  <si>
    <t>130 m² / 80 m² 5 kamers</t>
  </si>
  <si>
    <t>1540210615-295</t>
  </si>
  <si>
    <t>Albert van Dalsumlaan 67 3584 HB Utrecht</t>
  </si>
  <si>
    <t>1540210823-916</t>
  </si>
  <si>
    <t>Amsterdamsestraatweg 443 BIS 3553 EB Utrecht</t>
  </si>
  <si>
    <t>€ 379.000 k.k.</t>
  </si>
  <si>
    <t>1540210731-645</t>
  </si>
  <si>
    <t>Engelsmanplaat 36 3524 AZ Utrecht</t>
  </si>
  <si>
    <t>120 m² / 107 m² 4 kamers</t>
  </si>
  <si>
    <t>1540210900-1134</t>
  </si>
  <si>
    <t>Rochus Meeuwiszstraat 25 3554 VR Utrecht</t>
  </si>
  <si>
    <t>96 m² / 77 m² 4 kamers</t>
  </si>
  <si>
    <t>1540210610-282</t>
  </si>
  <si>
    <t>Noordzeestraat 11 3522 PH Utrecht</t>
  </si>
  <si>
    <t>105 m² / 82 m² 5 kamers</t>
  </si>
  <si>
    <t>1540210787-803</t>
  </si>
  <si>
    <t>Antonius Matthaeuslaan 12 3515 AS Utrecht</t>
  </si>
  <si>
    <t>130 m² 7 kamers</t>
  </si>
  <si>
    <t>1540210631-362</t>
  </si>
  <si>
    <t>Hoefijzerstraat 60 3572 BX Utrecht</t>
  </si>
  <si>
    <t>1540210746-695</t>
  </si>
  <si>
    <t>Hijmans van den Berghlaan 162 3571 PE Utrecht</t>
  </si>
  <si>
    <t>1540210762-738</t>
  </si>
  <si>
    <t>Papaverstraat 38 3551 EW Utrecht</t>
  </si>
  <si>
    <t>117 m² / 74 m² 6 kamers</t>
  </si>
  <si>
    <t>1540210692-539</t>
  </si>
  <si>
    <t>Walnootstraat 8 bis 3552 GT Utrecht</t>
  </si>
  <si>
    <t>84 m² 6 kamers</t>
  </si>
  <si>
    <t>1540210721-609</t>
  </si>
  <si>
    <t>Esther de Boer-van Rijklaan 23 3584 GL Utrecht</t>
  </si>
  <si>
    <t>167 m² / 175 m² 6 kamers</t>
  </si>
  <si>
    <t>1540210677-499</t>
  </si>
  <si>
    <t>M. van Meelstraat 45 3555 VW Utrecht</t>
  </si>
  <si>
    <t>94 m² / 82 m² 5 kamers</t>
  </si>
  <si>
    <t>1540210590-231</t>
  </si>
  <si>
    <t>Eisenhowerlaan 310 3527 HM Utrecht</t>
  </si>
  <si>
    <t>1540210823-920</t>
  </si>
  <si>
    <t>Van Imhoffstraat 49 3531 HV Utrecht</t>
  </si>
  <si>
    <t>€ 320.000 k.k.</t>
  </si>
  <si>
    <t>1540210849-991</t>
  </si>
  <si>
    <t>Smakkelaarsveld 35 3511 EA Utrecht</t>
  </si>
  <si>
    <t>147 m² 3 kamers</t>
  </si>
  <si>
    <t>1540210823-915</t>
  </si>
  <si>
    <t>Rubenslaan 75 1 3582 JE Utrecht</t>
  </si>
  <si>
    <t>1540210792-818</t>
  </si>
  <si>
    <t>Vechtplantsoen 34 4 3554 TD Utrecht</t>
  </si>
  <si>
    <t>130 m² 6 kamers</t>
  </si>
  <si>
    <t>1540210656-435</t>
  </si>
  <si>
    <t>Turkooislaan 55 3523 GK Utrecht</t>
  </si>
  <si>
    <t>78 m² 4 kamers</t>
  </si>
  <si>
    <t>1540210677-487</t>
  </si>
  <si>
    <t>Oortlaan 23 3572 ZM Utrecht</t>
  </si>
  <si>
    <t>108 m² / 173 m² 5 kamers</t>
  </si>
  <si>
    <t>1540210757-713</t>
  </si>
  <si>
    <t>Magelhaenlaan 131 3526 CC Utrecht</t>
  </si>
  <si>
    <t>97 m² / 134 m² 5 kamers</t>
  </si>
  <si>
    <t>1540210772-771</t>
  </si>
  <si>
    <t>Nieuwegracht 137 A 3512 LK Utrecht</t>
  </si>
  <si>
    <t>180 m² 6 kamers</t>
  </si>
  <si>
    <t>1540210787-806</t>
  </si>
  <si>
    <t>Ferdinand Bolstraat 23 3583 AP Utrecht</t>
  </si>
  <si>
    <t>74 m² / 65 m² 4 kamers</t>
  </si>
  <si>
    <t>1540210621-325</t>
  </si>
  <si>
    <t>Vechtplantsoen 18 III 3554 TB Utrecht</t>
  </si>
  <si>
    <t>1540210605-272</t>
  </si>
  <si>
    <t>Bouwnummer (Bouwnr. 32) 3573 SX Utrecht</t>
  </si>
  <si>
    <t>€ 650.000 v.o.n.</t>
  </si>
  <si>
    <t>155 m² 5 kamers</t>
  </si>
  <si>
    <t>prijs_ex_kk</t>
  </si>
  <si>
    <t>wonen_m2</t>
  </si>
  <si>
    <t>perceel_m2</t>
  </si>
  <si>
    <t>postcode_4cfr</t>
  </si>
  <si>
    <t>hulpcol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</si>
</sst>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7"/>
  <sheetViews>
    <sheetView tabSelected="1" workbookViewId="0"/>
  </sheetViews>
  <sheetFormatPr baseColWidth="10" defaultColWidth="8.83203125" defaultRowHeight="15" x14ac:dyDescent="0.2"/>
  <cols>
    <col min="1" max="1" width="19" customWidth="1"/>
    <col min="2" max="2" width="38.1640625" customWidth="1"/>
    <col min="3" max="3" width="45" customWidth="1"/>
    <col min="4" max="4" width="17.1640625" customWidth="1"/>
    <col min="5" max="5" width="26.83203125" customWidth="1"/>
    <col min="6" max="6" width="14.5" customWidth="1"/>
    <col min="7" max="7" width="13.6640625" customWidth="1"/>
    <col min="8" max="9" width="13.1640625" customWidth="1"/>
    <col min="10" max="10" width="12.6640625" customWidth="1"/>
  </cols>
  <sheetData>
    <row r="1" spans="1:10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2966</v>
      </c>
      <c r="G1" s="3" t="s">
        <v>2963</v>
      </c>
      <c r="H1" s="3" t="s">
        <v>2964</v>
      </c>
      <c r="I1" s="3" t="s">
        <v>2967</v>
      </c>
      <c r="J1" s="3" t="s">
        <v>2965</v>
      </c>
    </row>
    <row r="2" spans="1:10" x14ac:dyDescent="0.2">
      <c r="A2" t="s">
        <v>2562</v>
      </c>
      <c r="B2" t="s">
        <v>102</v>
      </c>
      <c r="C2" t="s">
        <v>2563</v>
      </c>
      <c r="D2" t="s">
        <v>2564</v>
      </c>
      <c r="E2" t="s">
        <v>2565</v>
      </c>
      <c r="F2" s="2">
        <f t="shared" ref="F2:F65" si="0">VALUE(LEFT(RIGHT(C2,15),4))</f>
        <v>3531</v>
      </c>
      <c r="G2" s="1">
        <f t="shared" ref="G2:G65" si="1">VALUE(MID(D2,3,FIND(" ",D2,3)-3))</f>
        <v>70000</v>
      </c>
      <c r="H2" s="2">
        <f t="shared" ref="H2:H65" si="2">VALUE(LEFT(E2,FIND(" ",E2,1)-1))</f>
        <v>14</v>
      </c>
      <c r="I2" s="2">
        <f t="shared" ref="I2:I65" si="3">IFERROR(FIND("/",E2,1),0)</f>
        <v>0</v>
      </c>
      <c r="J2">
        <f t="shared" ref="J2:J65" si="4">IF(I2=0,0,VALUE(MID(E2,FIND("/",E2,1)+2,(FIND(" ",E2,FIND("/",E2,1)+2)-(FIND("/",E2,1))-1))))</f>
        <v>0</v>
      </c>
    </row>
    <row r="3" spans="1:10" x14ac:dyDescent="0.2">
      <c r="A3" t="s">
        <v>1009</v>
      </c>
      <c r="B3" t="s">
        <v>245</v>
      </c>
      <c r="C3" t="s">
        <v>1010</v>
      </c>
      <c r="D3" t="s">
        <v>1011</v>
      </c>
      <c r="E3" t="s">
        <v>1012</v>
      </c>
      <c r="F3" s="2">
        <f t="shared" si="0"/>
        <v>3553</v>
      </c>
      <c r="G3" s="1">
        <f t="shared" si="1"/>
        <v>73500</v>
      </c>
      <c r="H3" s="2">
        <f t="shared" si="2"/>
        <v>15</v>
      </c>
      <c r="I3" s="2">
        <f t="shared" si="3"/>
        <v>0</v>
      </c>
      <c r="J3">
        <f t="shared" si="4"/>
        <v>0</v>
      </c>
    </row>
    <row r="4" spans="1:10" x14ac:dyDescent="0.2">
      <c r="A4" t="s">
        <v>1144</v>
      </c>
      <c r="B4" t="s">
        <v>245</v>
      </c>
      <c r="C4" t="s">
        <v>1145</v>
      </c>
      <c r="D4" t="s">
        <v>1146</v>
      </c>
      <c r="E4" t="s">
        <v>1012</v>
      </c>
      <c r="F4" s="2">
        <f t="shared" si="0"/>
        <v>3532</v>
      </c>
      <c r="G4" s="1">
        <f t="shared" si="1"/>
        <v>95000</v>
      </c>
      <c r="H4" s="2">
        <f t="shared" si="2"/>
        <v>15</v>
      </c>
      <c r="I4" s="2">
        <f t="shared" si="3"/>
        <v>0</v>
      </c>
      <c r="J4">
        <f t="shared" si="4"/>
        <v>0</v>
      </c>
    </row>
    <row r="5" spans="1:10" x14ac:dyDescent="0.2">
      <c r="A5" t="s">
        <v>2232</v>
      </c>
      <c r="B5" t="s">
        <v>130</v>
      </c>
      <c r="C5" t="s">
        <v>2233</v>
      </c>
      <c r="D5" t="s">
        <v>2234</v>
      </c>
      <c r="E5" t="s">
        <v>1012</v>
      </c>
      <c r="F5" s="2">
        <f t="shared" si="0"/>
        <v>3553</v>
      </c>
      <c r="G5" s="1">
        <f t="shared" si="1"/>
        <v>68000</v>
      </c>
      <c r="H5" s="2">
        <f t="shared" si="2"/>
        <v>15</v>
      </c>
      <c r="I5" s="2">
        <f t="shared" si="3"/>
        <v>0</v>
      </c>
      <c r="J5">
        <f t="shared" si="4"/>
        <v>0</v>
      </c>
    </row>
    <row r="6" spans="1:10" x14ac:dyDescent="0.2">
      <c r="A6" t="s">
        <v>2710</v>
      </c>
      <c r="B6" t="s">
        <v>1014</v>
      </c>
      <c r="C6" t="s">
        <v>2711</v>
      </c>
      <c r="D6" t="s">
        <v>2712</v>
      </c>
      <c r="E6" t="s">
        <v>1012</v>
      </c>
      <c r="F6" s="2">
        <f t="shared" si="0"/>
        <v>3572</v>
      </c>
      <c r="G6" s="1">
        <f t="shared" si="1"/>
        <v>124500</v>
      </c>
      <c r="H6" s="2">
        <f t="shared" si="2"/>
        <v>15</v>
      </c>
      <c r="I6" s="2">
        <f t="shared" si="3"/>
        <v>0</v>
      </c>
      <c r="J6">
        <f t="shared" si="4"/>
        <v>0</v>
      </c>
    </row>
    <row r="7" spans="1:10" x14ac:dyDescent="0.2">
      <c r="A7" t="s">
        <v>2099</v>
      </c>
      <c r="B7" t="s">
        <v>79</v>
      </c>
      <c r="C7" t="s">
        <v>2100</v>
      </c>
      <c r="D7" t="s">
        <v>1492</v>
      </c>
      <c r="E7" t="s">
        <v>2101</v>
      </c>
      <c r="F7" s="2">
        <f t="shared" si="0"/>
        <v>3572</v>
      </c>
      <c r="G7" s="1">
        <f t="shared" si="1"/>
        <v>75000</v>
      </c>
      <c r="H7" s="2">
        <f t="shared" si="2"/>
        <v>16</v>
      </c>
      <c r="I7" s="2">
        <f t="shared" si="3"/>
        <v>0</v>
      </c>
      <c r="J7">
        <f t="shared" si="4"/>
        <v>0</v>
      </c>
    </row>
    <row r="8" spans="1:10" x14ac:dyDescent="0.2">
      <c r="A8" t="s">
        <v>2421</v>
      </c>
      <c r="B8" t="s">
        <v>130</v>
      </c>
      <c r="C8" t="s">
        <v>2422</v>
      </c>
      <c r="D8" t="s">
        <v>2423</v>
      </c>
      <c r="E8" t="s">
        <v>2101</v>
      </c>
      <c r="F8" s="2">
        <f t="shared" si="0"/>
        <v>3555</v>
      </c>
      <c r="G8" s="1">
        <f t="shared" si="1"/>
        <v>70000</v>
      </c>
      <c r="H8" s="2">
        <f t="shared" si="2"/>
        <v>16</v>
      </c>
      <c r="I8" s="2">
        <f t="shared" si="3"/>
        <v>0</v>
      </c>
      <c r="J8">
        <f t="shared" si="4"/>
        <v>0</v>
      </c>
    </row>
    <row r="9" spans="1:10" x14ac:dyDescent="0.2">
      <c r="A9" t="s">
        <v>1352</v>
      </c>
      <c r="B9" t="s">
        <v>350</v>
      </c>
      <c r="C9" t="s">
        <v>1353</v>
      </c>
      <c r="D9" t="s">
        <v>1354</v>
      </c>
      <c r="E9" t="s">
        <v>1355</v>
      </c>
      <c r="F9" s="2">
        <f t="shared" si="0"/>
        <v>3563</v>
      </c>
      <c r="G9" s="1">
        <f t="shared" si="1"/>
        <v>20000</v>
      </c>
      <c r="H9" s="2">
        <f t="shared" si="2"/>
        <v>17</v>
      </c>
      <c r="I9" s="2">
        <f t="shared" si="3"/>
        <v>0</v>
      </c>
      <c r="J9">
        <f t="shared" si="4"/>
        <v>0</v>
      </c>
    </row>
    <row r="10" spans="1:10" x14ac:dyDescent="0.2">
      <c r="A10" t="s">
        <v>1490</v>
      </c>
      <c r="B10" t="s">
        <v>79</v>
      </c>
      <c r="C10" t="s">
        <v>1491</v>
      </c>
      <c r="D10" t="s">
        <v>1492</v>
      </c>
      <c r="E10" t="s">
        <v>1493</v>
      </c>
      <c r="F10" s="2">
        <f t="shared" si="0"/>
        <v>3555</v>
      </c>
      <c r="G10" s="1">
        <f t="shared" si="1"/>
        <v>75000</v>
      </c>
      <c r="H10" s="2">
        <f t="shared" si="2"/>
        <v>17</v>
      </c>
      <c r="I10" s="2">
        <f t="shared" si="3"/>
        <v>0</v>
      </c>
      <c r="J10">
        <f t="shared" si="4"/>
        <v>0</v>
      </c>
    </row>
    <row r="11" spans="1:10" x14ac:dyDescent="0.2">
      <c r="A11" t="s">
        <v>409</v>
      </c>
      <c r="B11" t="s">
        <v>350</v>
      </c>
      <c r="C11" t="s">
        <v>410</v>
      </c>
      <c r="D11" t="s">
        <v>411</v>
      </c>
      <c r="E11" t="s">
        <v>412</v>
      </c>
      <c r="F11" s="2">
        <f t="shared" si="0"/>
        <v>3572</v>
      </c>
      <c r="G11" s="1">
        <f t="shared" si="1"/>
        <v>105000</v>
      </c>
      <c r="H11" s="2">
        <f t="shared" si="2"/>
        <v>18</v>
      </c>
      <c r="I11" s="2">
        <f t="shared" si="3"/>
        <v>0</v>
      </c>
      <c r="J11">
        <f t="shared" si="4"/>
        <v>0</v>
      </c>
    </row>
    <row r="12" spans="1:10" x14ac:dyDescent="0.2">
      <c r="A12" t="s">
        <v>693</v>
      </c>
      <c r="B12" t="s">
        <v>79</v>
      </c>
      <c r="C12" t="s">
        <v>694</v>
      </c>
      <c r="D12" t="s">
        <v>695</v>
      </c>
      <c r="E12" t="s">
        <v>696</v>
      </c>
      <c r="F12" s="2">
        <f t="shared" si="0"/>
        <v>3563</v>
      </c>
      <c r="G12" s="1">
        <f t="shared" si="1"/>
        <v>19500</v>
      </c>
      <c r="H12" s="2">
        <f t="shared" si="2"/>
        <v>18</v>
      </c>
      <c r="I12" s="2">
        <f t="shared" si="3"/>
        <v>0</v>
      </c>
      <c r="J12">
        <f t="shared" si="4"/>
        <v>0</v>
      </c>
    </row>
    <row r="13" spans="1:10" x14ac:dyDescent="0.2">
      <c r="A13" t="s">
        <v>1677</v>
      </c>
      <c r="B13" t="s">
        <v>311</v>
      </c>
      <c r="C13" t="s">
        <v>1678</v>
      </c>
      <c r="D13" t="s">
        <v>609</v>
      </c>
      <c r="E13" t="s">
        <v>1679</v>
      </c>
      <c r="F13" s="2">
        <f t="shared" si="0"/>
        <v>3526</v>
      </c>
      <c r="G13" s="1">
        <f t="shared" si="1"/>
        <v>25000</v>
      </c>
      <c r="H13" s="2">
        <f t="shared" si="2"/>
        <v>20</v>
      </c>
      <c r="I13" s="2">
        <f t="shared" si="3"/>
        <v>0</v>
      </c>
      <c r="J13">
        <f t="shared" si="4"/>
        <v>0</v>
      </c>
    </row>
    <row r="14" spans="1:10" x14ac:dyDescent="0.2">
      <c r="A14" t="s">
        <v>358</v>
      </c>
      <c r="B14" t="s">
        <v>92</v>
      </c>
      <c r="C14" t="s">
        <v>359</v>
      </c>
      <c r="D14" t="s">
        <v>360</v>
      </c>
      <c r="E14" t="s">
        <v>361</v>
      </c>
      <c r="F14" s="2">
        <f t="shared" si="0"/>
        <v>3572</v>
      </c>
      <c r="G14" s="1">
        <f t="shared" si="1"/>
        <v>115000</v>
      </c>
      <c r="H14" s="2">
        <f t="shared" si="2"/>
        <v>21</v>
      </c>
      <c r="I14" s="2">
        <f t="shared" si="3"/>
        <v>0</v>
      </c>
      <c r="J14">
        <f t="shared" si="4"/>
        <v>0</v>
      </c>
    </row>
    <row r="15" spans="1:10" x14ac:dyDescent="0.2">
      <c r="A15" t="s">
        <v>775</v>
      </c>
      <c r="B15" t="s">
        <v>79</v>
      </c>
      <c r="C15" t="s">
        <v>776</v>
      </c>
      <c r="D15" t="s">
        <v>777</v>
      </c>
      <c r="E15" t="s">
        <v>778</v>
      </c>
      <c r="F15" s="2">
        <f t="shared" si="0"/>
        <v>3553</v>
      </c>
      <c r="G15" s="1">
        <f t="shared" si="1"/>
        <v>107500</v>
      </c>
      <c r="H15" s="2">
        <f t="shared" si="2"/>
        <v>21</v>
      </c>
      <c r="I15" s="2">
        <f t="shared" si="3"/>
        <v>7</v>
      </c>
      <c r="J15">
        <f t="shared" si="4"/>
        <v>21</v>
      </c>
    </row>
    <row r="16" spans="1:10" x14ac:dyDescent="0.2">
      <c r="A16" t="s">
        <v>349</v>
      </c>
      <c r="B16" t="s">
        <v>350</v>
      </c>
      <c r="C16" t="s">
        <v>351</v>
      </c>
      <c r="D16" t="s">
        <v>352</v>
      </c>
      <c r="E16" t="s">
        <v>353</v>
      </c>
      <c r="F16" s="2">
        <f t="shared" si="0"/>
        <v>3554</v>
      </c>
      <c r="G16" s="1">
        <f t="shared" si="1"/>
        <v>90000</v>
      </c>
      <c r="H16" s="2">
        <f t="shared" si="2"/>
        <v>22</v>
      </c>
      <c r="I16" s="2">
        <f t="shared" si="3"/>
        <v>0</v>
      </c>
      <c r="J16">
        <f t="shared" si="4"/>
        <v>0</v>
      </c>
    </row>
    <row r="17" spans="1:10" x14ac:dyDescent="0.2">
      <c r="A17" t="s">
        <v>1518</v>
      </c>
      <c r="B17" t="s">
        <v>350</v>
      </c>
      <c r="C17" t="s">
        <v>1519</v>
      </c>
      <c r="D17" t="s">
        <v>352</v>
      </c>
      <c r="E17" t="s">
        <v>353</v>
      </c>
      <c r="F17" s="2">
        <f t="shared" si="0"/>
        <v>3551</v>
      </c>
      <c r="G17" s="1">
        <f t="shared" si="1"/>
        <v>90000</v>
      </c>
      <c r="H17" s="2">
        <f t="shared" si="2"/>
        <v>22</v>
      </c>
      <c r="I17" s="2">
        <f t="shared" si="3"/>
        <v>0</v>
      </c>
      <c r="J17">
        <f t="shared" si="4"/>
        <v>0</v>
      </c>
    </row>
    <row r="18" spans="1:10" x14ac:dyDescent="0.2">
      <c r="A18" t="s">
        <v>1903</v>
      </c>
      <c r="B18" t="s">
        <v>130</v>
      </c>
      <c r="C18" t="s">
        <v>1904</v>
      </c>
      <c r="D18" t="s">
        <v>1905</v>
      </c>
      <c r="E18" t="s">
        <v>1906</v>
      </c>
      <c r="F18" s="2">
        <f t="shared" si="0"/>
        <v>3531</v>
      </c>
      <c r="G18" s="1">
        <f t="shared" si="1"/>
        <v>119500</v>
      </c>
      <c r="H18" s="2">
        <f t="shared" si="2"/>
        <v>22</v>
      </c>
      <c r="I18" s="2">
        <f t="shared" si="3"/>
        <v>0</v>
      </c>
      <c r="J18">
        <f t="shared" si="4"/>
        <v>0</v>
      </c>
    </row>
    <row r="19" spans="1:10" x14ac:dyDescent="0.2">
      <c r="A19" t="s">
        <v>2435</v>
      </c>
      <c r="B19" t="s">
        <v>16</v>
      </c>
      <c r="C19" t="s">
        <v>2436</v>
      </c>
      <c r="D19" t="s">
        <v>2437</v>
      </c>
      <c r="E19" t="s">
        <v>2438</v>
      </c>
      <c r="F19" s="2">
        <f t="shared" si="0"/>
        <v>3564</v>
      </c>
      <c r="G19" s="1">
        <f t="shared" si="1"/>
        <v>22500</v>
      </c>
      <c r="H19" s="2">
        <f t="shared" si="2"/>
        <v>22</v>
      </c>
      <c r="I19" s="2">
        <f t="shared" si="3"/>
        <v>0</v>
      </c>
      <c r="J19">
        <f t="shared" si="4"/>
        <v>0</v>
      </c>
    </row>
    <row r="20" spans="1:10" x14ac:dyDescent="0.2">
      <c r="A20" t="s">
        <v>2761</v>
      </c>
      <c r="B20" t="s">
        <v>377</v>
      </c>
      <c r="C20" t="s">
        <v>2762</v>
      </c>
      <c r="D20" t="s">
        <v>2763</v>
      </c>
      <c r="E20" t="s">
        <v>353</v>
      </c>
      <c r="F20" s="2">
        <f t="shared" si="0"/>
        <v>3513</v>
      </c>
      <c r="G20" s="1">
        <f t="shared" si="1"/>
        <v>135000</v>
      </c>
      <c r="H20" s="2">
        <f t="shared" si="2"/>
        <v>22</v>
      </c>
      <c r="I20" s="2">
        <f t="shared" si="3"/>
        <v>0</v>
      </c>
      <c r="J20">
        <f t="shared" si="4"/>
        <v>0</v>
      </c>
    </row>
    <row r="21" spans="1:10" x14ac:dyDescent="0.2">
      <c r="A21" t="s">
        <v>870</v>
      </c>
      <c r="B21" t="s">
        <v>229</v>
      </c>
      <c r="C21" t="s">
        <v>871</v>
      </c>
      <c r="D21" t="s">
        <v>872</v>
      </c>
      <c r="E21" t="s">
        <v>873</v>
      </c>
      <c r="F21" s="2">
        <f t="shared" si="0"/>
        <v>3572</v>
      </c>
      <c r="G21" s="1">
        <f t="shared" si="1"/>
        <v>99500</v>
      </c>
      <c r="H21" s="2">
        <f t="shared" si="2"/>
        <v>24</v>
      </c>
      <c r="I21" s="2">
        <f t="shared" si="3"/>
        <v>0</v>
      </c>
      <c r="J21">
        <f t="shared" si="4"/>
        <v>0</v>
      </c>
    </row>
    <row r="22" spans="1:10" x14ac:dyDescent="0.2">
      <c r="A22" t="s">
        <v>1488</v>
      </c>
      <c r="B22" t="s">
        <v>325</v>
      </c>
      <c r="C22" t="s">
        <v>1489</v>
      </c>
      <c r="D22" t="s">
        <v>374</v>
      </c>
      <c r="E22" t="s">
        <v>873</v>
      </c>
      <c r="F22" s="2">
        <f t="shared" si="0"/>
        <v>3551</v>
      </c>
      <c r="G22" s="1">
        <f t="shared" si="1"/>
        <v>165000</v>
      </c>
      <c r="H22" s="2">
        <f t="shared" si="2"/>
        <v>24</v>
      </c>
      <c r="I22" s="2">
        <f t="shared" si="3"/>
        <v>0</v>
      </c>
      <c r="J22">
        <f t="shared" si="4"/>
        <v>0</v>
      </c>
    </row>
    <row r="23" spans="1:10" x14ac:dyDescent="0.2">
      <c r="A23" t="s">
        <v>2385</v>
      </c>
      <c r="B23" t="s">
        <v>152</v>
      </c>
      <c r="C23" t="s">
        <v>2386</v>
      </c>
      <c r="D23" t="s">
        <v>2387</v>
      </c>
      <c r="E23" t="s">
        <v>2388</v>
      </c>
      <c r="F23" s="2">
        <f t="shared" si="0"/>
        <v>3512</v>
      </c>
      <c r="G23" s="1">
        <f t="shared" si="1"/>
        <v>125000</v>
      </c>
      <c r="H23" s="2">
        <f t="shared" si="2"/>
        <v>25</v>
      </c>
      <c r="I23" s="2">
        <f t="shared" si="3"/>
        <v>0</v>
      </c>
      <c r="J23">
        <f t="shared" si="4"/>
        <v>0</v>
      </c>
    </row>
    <row r="24" spans="1:10" x14ac:dyDescent="0.2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 s="2">
        <f t="shared" si="0"/>
        <v>3531</v>
      </c>
      <c r="G24" s="1">
        <f t="shared" si="1"/>
        <v>157500</v>
      </c>
      <c r="H24" s="2">
        <f t="shared" si="2"/>
        <v>26</v>
      </c>
      <c r="I24" s="2">
        <f t="shared" si="3"/>
        <v>0</v>
      </c>
      <c r="J24">
        <f t="shared" si="4"/>
        <v>0</v>
      </c>
    </row>
    <row r="25" spans="1:10" x14ac:dyDescent="0.2">
      <c r="A25" t="s">
        <v>952</v>
      </c>
      <c r="B25" t="s">
        <v>175</v>
      </c>
      <c r="C25" t="s">
        <v>953</v>
      </c>
      <c r="D25" t="s">
        <v>954</v>
      </c>
      <c r="E25" t="s">
        <v>95</v>
      </c>
      <c r="F25" s="2">
        <f t="shared" si="0"/>
        <v>3532</v>
      </c>
      <c r="G25" s="1">
        <f t="shared" si="1"/>
        <v>129500</v>
      </c>
      <c r="H25" s="2">
        <f t="shared" si="2"/>
        <v>26</v>
      </c>
      <c r="I25" s="2">
        <f t="shared" si="3"/>
        <v>0</v>
      </c>
      <c r="J25">
        <f t="shared" si="4"/>
        <v>0</v>
      </c>
    </row>
    <row r="26" spans="1:10" x14ac:dyDescent="0.2">
      <c r="A26" t="s">
        <v>1718</v>
      </c>
      <c r="B26" t="s">
        <v>560</v>
      </c>
      <c r="C26" t="s">
        <v>1719</v>
      </c>
      <c r="D26" t="s">
        <v>215</v>
      </c>
      <c r="E26" t="s">
        <v>1720</v>
      </c>
      <c r="F26" s="2">
        <f t="shared" si="0"/>
        <v>3526</v>
      </c>
      <c r="G26" s="1">
        <f t="shared" si="1"/>
        <v>145000</v>
      </c>
      <c r="H26" s="2">
        <f t="shared" si="2"/>
        <v>28</v>
      </c>
      <c r="I26" s="2">
        <f t="shared" si="3"/>
        <v>0</v>
      </c>
      <c r="J26">
        <f t="shared" si="4"/>
        <v>0</v>
      </c>
    </row>
    <row r="27" spans="1:10" x14ac:dyDescent="0.2">
      <c r="A27" t="s">
        <v>337</v>
      </c>
      <c r="B27" t="s">
        <v>152</v>
      </c>
      <c r="C27" t="s">
        <v>338</v>
      </c>
      <c r="D27" t="s">
        <v>339</v>
      </c>
      <c r="E27" t="s">
        <v>340</v>
      </c>
      <c r="F27" s="2">
        <f t="shared" si="0"/>
        <v>3582</v>
      </c>
      <c r="G27" s="1">
        <f t="shared" si="1"/>
        <v>175000</v>
      </c>
      <c r="H27" s="2">
        <f t="shared" si="2"/>
        <v>30</v>
      </c>
      <c r="I27" s="2">
        <f t="shared" si="3"/>
        <v>0</v>
      </c>
      <c r="J27">
        <f t="shared" si="4"/>
        <v>0</v>
      </c>
    </row>
    <row r="28" spans="1:10" x14ac:dyDescent="0.2">
      <c r="A28" t="s">
        <v>755</v>
      </c>
      <c r="B28" t="s">
        <v>377</v>
      </c>
      <c r="C28" t="s">
        <v>756</v>
      </c>
      <c r="D28" t="s">
        <v>591</v>
      </c>
      <c r="E28" t="s">
        <v>757</v>
      </c>
      <c r="F28" s="2">
        <f t="shared" si="0"/>
        <v>3513</v>
      </c>
      <c r="G28" s="1">
        <f t="shared" si="1"/>
        <v>169000</v>
      </c>
      <c r="H28" s="2">
        <f t="shared" si="2"/>
        <v>30</v>
      </c>
      <c r="I28" s="2">
        <f t="shared" si="3"/>
        <v>0</v>
      </c>
      <c r="J28">
        <f t="shared" si="4"/>
        <v>0</v>
      </c>
    </row>
    <row r="29" spans="1:10" x14ac:dyDescent="0.2">
      <c r="A29" t="s">
        <v>2702</v>
      </c>
      <c r="B29" t="s">
        <v>259</v>
      </c>
      <c r="C29" t="s">
        <v>2703</v>
      </c>
      <c r="D29" t="s">
        <v>339</v>
      </c>
      <c r="E29" t="s">
        <v>757</v>
      </c>
      <c r="F29" s="2">
        <f t="shared" si="0"/>
        <v>3514</v>
      </c>
      <c r="G29" s="1">
        <f t="shared" si="1"/>
        <v>175000</v>
      </c>
      <c r="H29" s="2">
        <f t="shared" si="2"/>
        <v>30</v>
      </c>
      <c r="I29" s="2">
        <f t="shared" si="3"/>
        <v>0</v>
      </c>
      <c r="J29">
        <f t="shared" si="4"/>
        <v>0</v>
      </c>
    </row>
    <row r="30" spans="1:10" x14ac:dyDescent="0.2">
      <c r="A30" t="s">
        <v>2764</v>
      </c>
      <c r="B30" t="s">
        <v>229</v>
      </c>
      <c r="C30" t="s">
        <v>2765</v>
      </c>
      <c r="D30" t="s">
        <v>2766</v>
      </c>
      <c r="E30" t="s">
        <v>340</v>
      </c>
      <c r="F30" s="2">
        <f t="shared" si="0"/>
        <v>3572</v>
      </c>
      <c r="G30" s="1">
        <f t="shared" si="1"/>
        <v>139500</v>
      </c>
      <c r="H30" s="2">
        <f t="shared" si="2"/>
        <v>30</v>
      </c>
      <c r="I30" s="2">
        <f t="shared" si="3"/>
        <v>0</v>
      </c>
      <c r="J30">
        <f t="shared" si="4"/>
        <v>0</v>
      </c>
    </row>
    <row r="31" spans="1:10" x14ac:dyDescent="0.2">
      <c r="A31" t="s">
        <v>2885</v>
      </c>
      <c r="B31" t="s">
        <v>84</v>
      </c>
      <c r="C31" t="s">
        <v>2886</v>
      </c>
      <c r="D31" t="s">
        <v>430</v>
      </c>
      <c r="E31" t="s">
        <v>2887</v>
      </c>
      <c r="F31" s="2">
        <f t="shared" si="0"/>
        <v>3572</v>
      </c>
      <c r="G31" s="1">
        <f t="shared" si="1"/>
        <v>250000</v>
      </c>
      <c r="H31" s="2">
        <f t="shared" si="2"/>
        <v>31</v>
      </c>
      <c r="I31" s="2">
        <f t="shared" si="3"/>
        <v>0</v>
      </c>
      <c r="J31">
        <f t="shared" si="4"/>
        <v>0</v>
      </c>
    </row>
    <row r="32" spans="1:10" x14ac:dyDescent="0.2">
      <c r="A32" t="s">
        <v>1833</v>
      </c>
      <c r="B32" t="s">
        <v>325</v>
      </c>
      <c r="C32" t="s">
        <v>1834</v>
      </c>
      <c r="D32" t="s">
        <v>1835</v>
      </c>
      <c r="E32" t="s">
        <v>1836</v>
      </c>
      <c r="F32" s="2">
        <f t="shared" si="0"/>
        <v>3553</v>
      </c>
      <c r="G32" s="1">
        <f t="shared" si="1"/>
        <v>160000</v>
      </c>
      <c r="H32" s="2">
        <f t="shared" si="2"/>
        <v>32</v>
      </c>
      <c r="I32" s="2">
        <f t="shared" si="3"/>
        <v>0</v>
      </c>
      <c r="J32">
        <f t="shared" si="4"/>
        <v>0</v>
      </c>
    </row>
    <row r="33" spans="1:10" x14ac:dyDescent="0.2">
      <c r="A33" t="s">
        <v>2439</v>
      </c>
      <c r="B33" t="s">
        <v>11</v>
      </c>
      <c r="C33" t="s">
        <v>776</v>
      </c>
      <c r="D33" t="s">
        <v>872</v>
      </c>
      <c r="E33" t="s">
        <v>2440</v>
      </c>
      <c r="F33" s="2">
        <f t="shared" si="0"/>
        <v>3553</v>
      </c>
      <c r="G33" s="1">
        <f t="shared" si="1"/>
        <v>99500</v>
      </c>
      <c r="H33" s="2">
        <f t="shared" si="2"/>
        <v>32</v>
      </c>
      <c r="I33" s="2">
        <f t="shared" si="3"/>
        <v>0</v>
      </c>
      <c r="J33">
        <f t="shared" si="4"/>
        <v>0</v>
      </c>
    </row>
    <row r="34" spans="1:10" x14ac:dyDescent="0.2">
      <c r="A34" t="s">
        <v>765</v>
      </c>
      <c r="B34" t="s">
        <v>187</v>
      </c>
      <c r="C34" t="s">
        <v>766</v>
      </c>
      <c r="D34" t="s">
        <v>767</v>
      </c>
      <c r="E34" t="s">
        <v>768</v>
      </c>
      <c r="F34" s="2">
        <f t="shared" si="0"/>
        <v>3572</v>
      </c>
      <c r="G34" s="1">
        <f t="shared" si="1"/>
        <v>109000</v>
      </c>
      <c r="H34" s="2">
        <f t="shared" si="2"/>
        <v>33</v>
      </c>
      <c r="I34" s="2">
        <f t="shared" si="3"/>
        <v>0</v>
      </c>
      <c r="J34">
        <f t="shared" si="4"/>
        <v>0</v>
      </c>
    </row>
    <row r="35" spans="1:10" x14ac:dyDescent="0.2">
      <c r="A35" t="s">
        <v>955</v>
      </c>
      <c r="B35" t="s">
        <v>552</v>
      </c>
      <c r="C35" t="s">
        <v>956</v>
      </c>
      <c r="D35" t="s">
        <v>154</v>
      </c>
      <c r="E35" t="s">
        <v>768</v>
      </c>
      <c r="F35" s="2">
        <f t="shared" si="0"/>
        <v>3555</v>
      </c>
      <c r="G35" s="1">
        <f t="shared" si="1"/>
        <v>150000</v>
      </c>
      <c r="H35" s="2">
        <f t="shared" si="2"/>
        <v>33</v>
      </c>
      <c r="I35" s="2">
        <f t="shared" si="3"/>
        <v>0</v>
      </c>
      <c r="J35">
        <f t="shared" si="4"/>
        <v>0</v>
      </c>
    </row>
    <row r="36" spans="1:10" x14ac:dyDescent="0.2">
      <c r="A36" t="s">
        <v>1125</v>
      </c>
      <c r="B36" t="s">
        <v>162</v>
      </c>
      <c r="C36" t="s">
        <v>1126</v>
      </c>
      <c r="D36" t="s">
        <v>339</v>
      </c>
      <c r="E36" t="s">
        <v>768</v>
      </c>
      <c r="F36" s="2">
        <f t="shared" si="0"/>
        <v>3531</v>
      </c>
      <c r="G36" s="1">
        <f t="shared" si="1"/>
        <v>175000</v>
      </c>
      <c r="H36" s="2">
        <f t="shared" si="2"/>
        <v>33</v>
      </c>
      <c r="I36" s="2">
        <f t="shared" si="3"/>
        <v>0</v>
      </c>
      <c r="J36">
        <f t="shared" si="4"/>
        <v>0</v>
      </c>
    </row>
    <row r="37" spans="1:10" x14ac:dyDescent="0.2">
      <c r="A37" t="s">
        <v>559</v>
      </c>
      <c r="B37" t="s">
        <v>560</v>
      </c>
      <c r="C37" t="s">
        <v>561</v>
      </c>
      <c r="D37" t="s">
        <v>256</v>
      </c>
      <c r="E37" t="s">
        <v>562</v>
      </c>
      <c r="F37" s="2">
        <f t="shared" si="0"/>
        <v>3572</v>
      </c>
      <c r="G37" s="1">
        <f t="shared" si="1"/>
        <v>199000</v>
      </c>
      <c r="H37" s="2">
        <f t="shared" si="2"/>
        <v>34</v>
      </c>
      <c r="I37" s="2">
        <f t="shared" si="3"/>
        <v>0</v>
      </c>
      <c r="J37">
        <f t="shared" si="4"/>
        <v>0</v>
      </c>
    </row>
    <row r="38" spans="1:10" x14ac:dyDescent="0.2">
      <c r="A38" t="s">
        <v>745</v>
      </c>
      <c r="B38" t="s">
        <v>162</v>
      </c>
      <c r="C38" t="s">
        <v>746</v>
      </c>
      <c r="D38" t="s">
        <v>747</v>
      </c>
      <c r="E38" t="s">
        <v>562</v>
      </c>
      <c r="F38" s="2">
        <f t="shared" si="0"/>
        <v>3514</v>
      </c>
      <c r="G38" s="1">
        <f t="shared" si="1"/>
        <v>180000</v>
      </c>
      <c r="H38" s="2">
        <f t="shared" si="2"/>
        <v>34</v>
      </c>
      <c r="I38" s="2">
        <f t="shared" si="3"/>
        <v>0</v>
      </c>
      <c r="J38">
        <f t="shared" si="4"/>
        <v>0</v>
      </c>
    </row>
    <row r="39" spans="1:10" x14ac:dyDescent="0.2">
      <c r="A39" t="s">
        <v>213</v>
      </c>
      <c r="B39" t="s">
        <v>166</v>
      </c>
      <c r="C39" t="s">
        <v>214</v>
      </c>
      <c r="D39" t="s">
        <v>215</v>
      </c>
      <c r="E39" t="s">
        <v>216</v>
      </c>
      <c r="F39" s="2">
        <f t="shared" si="0"/>
        <v>3561</v>
      </c>
      <c r="G39" s="1">
        <f t="shared" si="1"/>
        <v>145000</v>
      </c>
      <c r="H39" s="2">
        <f t="shared" si="2"/>
        <v>35</v>
      </c>
      <c r="I39" s="2">
        <f t="shared" si="3"/>
        <v>0</v>
      </c>
      <c r="J39">
        <f t="shared" si="4"/>
        <v>0</v>
      </c>
    </row>
    <row r="40" spans="1:10" x14ac:dyDescent="0.2">
      <c r="A40" t="s">
        <v>681</v>
      </c>
      <c r="B40" t="s">
        <v>166</v>
      </c>
      <c r="C40" t="s">
        <v>682</v>
      </c>
      <c r="D40" t="s">
        <v>318</v>
      </c>
      <c r="E40" t="s">
        <v>216</v>
      </c>
      <c r="F40" s="2">
        <f t="shared" si="0"/>
        <v>3551</v>
      </c>
      <c r="G40" s="1">
        <f t="shared" si="1"/>
        <v>185000</v>
      </c>
      <c r="H40" s="2">
        <f t="shared" si="2"/>
        <v>35</v>
      </c>
      <c r="I40" s="2">
        <f t="shared" si="3"/>
        <v>0</v>
      </c>
      <c r="J40">
        <f t="shared" si="4"/>
        <v>0</v>
      </c>
    </row>
    <row r="41" spans="1:10" x14ac:dyDescent="0.2">
      <c r="A41" t="s">
        <v>773</v>
      </c>
      <c r="B41" t="s">
        <v>311</v>
      </c>
      <c r="C41" t="s">
        <v>774</v>
      </c>
      <c r="D41" t="s">
        <v>57</v>
      </c>
      <c r="E41" t="s">
        <v>216</v>
      </c>
      <c r="F41" s="2">
        <f t="shared" si="0"/>
        <v>3581</v>
      </c>
      <c r="G41" s="1">
        <f t="shared" si="1"/>
        <v>225000</v>
      </c>
      <c r="H41" s="2">
        <f t="shared" si="2"/>
        <v>35</v>
      </c>
      <c r="I41" s="2">
        <f t="shared" si="3"/>
        <v>0</v>
      </c>
      <c r="J41">
        <f t="shared" si="4"/>
        <v>0</v>
      </c>
    </row>
    <row r="42" spans="1:10" x14ac:dyDescent="0.2">
      <c r="A42" t="s">
        <v>2304</v>
      </c>
      <c r="B42" t="s">
        <v>152</v>
      </c>
      <c r="C42" t="s">
        <v>2305</v>
      </c>
      <c r="D42" t="s">
        <v>2306</v>
      </c>
      <c r="E42" t="s">
        <v>2307</v>
      </c>
      <c r="F42" s="2">
        <f t="shared" si="0"/>
        <v>3531</v>
      </c>
      <c r="G42" s="1">
        <f t="shared" si="1"/>
        <v>189500</v>
      </c>
      <c r="H42" s="2">
        <f t="shared" si="2"/>
        <v>36</v>
      </c>
      <c r="I42" s="2">
        <f t="shared" si="3"/>
        <v>0</v>
      </c>
      <c r="J42">
        <f t="shared" si="4"/>
        <v>0</v>
      </c>
    </row>
    <row r="43" spans="1:10" x14ac:dyDescent="0.2">
      <c r="A43" t="s">
        <v>2486</v>
      </c>
      <c r="B43" t="s">
        <v>26</v>
      </c>
      <c r="C43" t="s">
        <v>2487</v>
      </c>
      <c r="D43" t="s">
        <v>99</v>
      </c>
      <c r="E43" t="s">
        <v>2307</v>
      </c>
      <c r="F43" s="2">
        <f t="shared" si="0"/>
        <v>3512</v>
      </c>
      <c r="G43" s="1">
        <f t="shared" si="1"/>
        <v>300000</v>
      </c>
      <c r="H43" s="2">
        <f t="shared" si="2"/>
        <v>36</v>
      </c>
      <c r="I43" s="2">
        <f t="shared" si="3"/>
        <v>0</v>
      </c>
      <c r="J43">
        <f t="shared" si="4"/>
        <v>0</v>
      </c>
    </row>
    <row r="44" spans="1:10" x14ac:dyDescent="0.2">
      <c r="A44" t="s">
        <v>2545</v>
      </c>
      <c r="B44" t="s">
        <v>560</v>
      </c>
      <c r="C44" t="s">
        <v>2546</v>
      </c>
      <c r="D44" t="s">
        <v>2547</v>
      </c>
      <c r="E44" t="s">
        <v>2548</v>
      </c>
      <c r="F44" s="2">
        <f t="shared" si="0"/>
        <v>3532</v>
      </c>
      <c r="G44" s="1">
        <f t="shared" si="1"/>
        <v>179000</v>
      </c>
      <c r="H44" s="2">
        <f t="shared" si="2"/>
        <v>36</v>
      </c>
      <c r="I44" s="2">
        <f t="shared" si="3"/>
        <v>0</v>
      </c>
      <c r="J44">
        <f t="shared" si="4"/>
        <v>0</v>
      </c>
    </row>
    <row r="45" spans="1:10" x14ac:dyDescent="0.2">
      <c r="A45" t="s">
        <v>2858</v>
      </c>
      <c r="B45" t="s">
        <v>325</v>
      </c>
      <c r="C45" t="s">
        <v>2859</v>
      </c>
      <c r="D45" t="s">
        <v>2537</v>
      </c>
      <c r="E45" t="s">
        <v>2548</v>
      </c>
      <c r="F45" s="2">
        <f t="shared" si="0"/>
        <v>3524</v>
      </c>
      <c r="G45" s="1">
        <f t="shared" si="1"/>
        <v>149000</v>
      </c>
      <c r="H45" s="2">
        <f t="shared" si="2"/>
        <v>36</v>
      </c>
      <c r="I45" s="2">
        <f t="shared" si="3"/>
        <v>0</v>
      </c>
      <c r="J45">
        <f t="shared" si="4"/>
        <v>0</v>
      </c>
    </row>
    <row r="46" spans="1:10" x14ac:dyDescent="0.2">
      <c r="A46" t="s">
        <v>2280</v>
      </c>
      <c r="B46" t="s">
        <v>152</v>
      </c>
      <c r="C46" t="s">
        <v>2281</v>
      </c>
      <c r="D46" t="s">
        <v>274</v>
      </c>
      <c r="E46" t="s">
        <v>2282</v>
      </c>
      <c r="F46" s="2">
        <f t="shared" si="0"/>
        <v>3572</v>
      </c>
      <c r="G46" s="1">
        <f t="shared" si="1"/>
        <v>209000</v>
      </c>
      <c r="H46" s="2">
        <f t="shared" si="2"/>
        <v>37</v>
      </c>
      <c r="I46" s="2">
        <f t="shared" si="3"/>
        <v>0</v>
      </c>
      <c r="J46">
        <f t="shared" si="4"/>
        <v>0</v>
      </c>
    </row>
    <row r="47" spans="1:10" x14ac:dyDescent="0.2">
      <c r="A47" t="s">
        <v>2589</v>
      </c>
      <c r="B47" t="s">
        <v>157</v>
      </c>
      <c r="C47" t="s">
        <v>2590</v>
      </c>
      <c r="D47" t="s">
        <v>339</v>
      </c>
      <c r="E47" t="s">
        <v>2591</v>
      </c>
      <c r="F47" s="2">
        <f t="shared" si="0"/>
        <v>3522</v>
      </c>
      <c r="G47" s="1">
        <f t="shared" si="1"/>
        <v>175000</v>
      </c>
      <c r="H47" s="2">
        <f t="shared" si="2"/>
        <v>37</v>
      </c>
      <c r="I47" s="2">
        <f t="shared" si="3"/>
        <v>0</v>
      </c>
      <c r="J47">
        <f t="shared" si="4"/>
        <v>0</v>
      </c>
    </row>
    <row r="48" spans="1:10" x14ac:dyDescent="0.2">
      <c r="A48" t="s">
        <v>151</v>
      </c>
      <c r="B48" t="s">
        <v>152</v>
      </c>
      <c r="C48" t="s">
        <v>153</v>
      </c>
      <c r="D48" t="s">
        <v>154</v>
      </c>
      <c r="E48" t="s">
        <v>155</v>
      </c>
      <c r="F48" s="2">
        <f t="shared" si="0"/>
        <v>3554</v>
      </c>
      <c r="G48" s="1">
        <f t="shared" si="1"/>
        <v>150000</v>
      </c>
      <c r="H48" s="2">
        <f t="shared" si="2"/>
        <v>38</v>
      </c>
      <c r="I48" s="2">
        <f t="shared" si="3"/>
        <v>0</v>
      </c>
      <c r="J48">
        <f t="shared" si="4"/>
        <v>0</v>
      </c>
    </row>
    <row r="49" spans="1:10" x14ac:dyDescent="0.2">
      <c r="A49" t="s">
        <v>957</v>
      </c>
      <c r="B49" t="s">
        <v>736</v>
      </c>
      <c r="C49" t="s">
        <v>958</v>
      </c>
      <c r="D49" t="s">
        <v>959</v>
      </c>
      <c r="E49" t="s">
        <v>155</v>
      </c>
      <c r="F49" s="2">
        <f t="shared" si="0"/>
        <v>3527</v>
      </c>
      <c r="G49" s="1">
        <f t="shared" si="1"/>
        <v>174500</v>
      </c>
      <c r="H49" s="2">
        <f t="shared" si="2"/>
        <v>38</v>
      </c>
      <c r="I49" s="2">
        <f t="shared" si="3"/>
        <v>0</v>
      </c>
      <c r="J49">
        <f t="shared" si="4"/>
        <v>0</v>
      </c>
    </row>
    <row r="50" spans="1:10" x14ac:dyDescent="0.2">
      <c r="A50" t="s">
        <v>1189</v>
      </c>
      <c r="B50" t="s">
        <v>342</v>
      </c>
      <c r="C50" t="s">
        <v>1190</v>
      </c>
      <c r="D50" t="s">
        <v>1191</v>
      </c>
      <c r="E50" t="s">
        <v>155</v>
      </c>
      <c r="F50" s="2">
        <f t="shared" si="0"/>
        <v>3561</v>
      </c>
      <c r="G50" s="1">
        <f t="shared" si="1"/>
        <v>142500</v>
      </c>
      <c r="H50" s="2">
        <f t="shared" si="2"/>
        <v>38</v>
      </c>
      <c r="I50" s="2">
        <f t="shared" si="3"/>
        <v>0</v>
      </c>
      <c r="J50">
        <f t="shared" si="4"/>
        <v>0</v>
      </c>
    </row>
    <row r="51" spans="1:10" x14ac:dyDescent="0.2">
      <c r="A51" t="s">
        <v>2055</v>
      </c>
      <c r="B51" t="s">
        <v>355</v>
      </c>
      <c r="C51" t="s">
        <v>2056</v>
      </c>
      <c r="D51" t="s">
        <v>374</v>
      </c>
      <c r="E51" t="s">
        <v>155</v>
      </c>
      <c r="F51" s="2">
        <f t="shared" si="0"/>
        <v>3533</v>
      </c>
      <c r="G51" s="1">
        <f t="shared" si="1"/>
        <v>165000</v>
      </c>
      <c r="H51" s="2">
        <f t="shared" si="2"/>
        <v>38</v>
      </c>
      <c r="I51" s="2">
        <f t="shared" si="3"/>
        <v>0</v>
      </c>
      <c r="J51">
        <f t="shared" si="4"/>
        <v>0</v>
      </c>
    </row>
    <row r="52" spans="1:10" x14ac:dyDescent="0.2">
      <c r="A52" t="s">
        <v>1824</v>
      </c>
      <c r="B52" t="s">
        <v>229</v>
      </c>
      <c r="C52" t="s">
        <v>1825</v>
      </c>
      <c r="D52" t="s">
        <v>1826</v>
      </c>
      <c r="E52" t="s">
        <v>1827</v>
      </c>
      <c r="F52" s="2">
        <f t="shared" si="0"/>
        <v>3514</v>
      </c>
      <c r="G52" s="1">
        <f t="shared" si="1"/>
        <v>139500</v>
      </c>
      <c r="H52" s="2">
        <f t="shared" si="2"/>
        <v>39</v>
      </c>
      <c r="I52" s="2">
        <f t="shared" si="3"/>
        <v>0</v>
      </c>
      <c r="J52">
        <f t="shared" si="4"/>
        <v>0</v>
      </c>
    </row>
    <row r="53" spans="1:10" x14ac:dyDescent="0.2">
      <c r="A53" t="s">
        <v>2198</v>
      </c>
      <c r="B53" t="s">
        <v>552</v>
      </c>
      <c r="C53" t="s">
        <v>2199</v>
      </c>
      <c r="D53" t="s">
        <v>154</v>
      </c>
      <c r="E53" t="s">
        <v>1827</v>
      </c>
      <c r="F53" s="2">
        <f t="shared" si="0"/>
        <v>3527</v>
      </c>
      <c r="G53" s="1">
        <f t="shared" si="1"/>
        <v>150000</v>
      </c>
      <c r="H53" s="2">
        <f t="shared" si="2"/>
        <v>39</v>
      </c>
      <c r="I53" s="2">
        <f t="shared" si="3"/>
        <v>0</v>
      </c>
      <c r="J53">
        <f t="shared" si="4"/>
        <v>0</v>
      </c>
    </row>
    <row r="54" spans="1:10" x14ac:dyDescent="0.2">
      <c r="A54" t="s">
        <v>2458</v>
      </c>
      <c r="B54" t="s">
        <v>120</v>
      </c>
      <c r="C54" t="s">
        <v>2459</v>
      </c>
      <c r="D54" t="s">
        <v>2460</v>
      </c>
      <c r="E54" t="s">
        <v>2461</v>
      </c>
      <c r="F54" s="2">
        <f t="shared" si="0"/>
        <v>3511</v>
      </c>
      <c r="G54" s="1">
        <f t="shared" si="1"/>
        <v>205000</v>
      </c>
      <c r="H54" s="2">
        <f t="shared" si="2"/>
        <v>39</v>
      </c>
      <c r="I54" s="2">
        <f t="shared" si="3"/>
        <v>0</v>
      </c>
      <c r="J54">
        <f t="shared" si="4"/>
        <v>0</v>
      </c>
    </row>
    <row r="55" spans="1:10" x14ac:dyDescent="0.2">
      <c r="A55" t="s">
        <v>253</v>
      </c>
      <c r="B55" t="s">
        <v>254</v>
      </c>
      <c r="C55" t="s">
        <v>255</v>
      </c>
      <c r="D55" t="s">
        <v>256</v>
      </c>
      <c r="E55" t="s">
        <v>257</v>
      </c>
      <c r="F55" s="2">
        <f t="shared" si="0"/>
        <v>3513</v>
      </c>
      <c r="G55" s="1">
        <f t="shared" si="1"/>
        <v>199000</v>
      </c>
      <c r="H55" s="2">
        <f t="shared" si="2"/>
        <v>41</v>
      </c>
      <c r="I55" s="2">
        <f t="shared" si="3"/>
        <v>0</v>
      </c>
      <c r="J55">
        <f t="shared" si="4"/>
        <v>0</v>
      </c>
    </row>
    <row r="56" spans="1:10" x14ac:dyDescent="0.2">
      <c r="A56" t="s">
        <v>2357</v>
      </c>
      <c r="B56" t="s">
        <v>229</v>
      </c>
      <c r="C56" t="s">
        <v>2358</v>
      </c>
      <c r="D56" t="s">
        <v>339</v>
      </c>
      <c r="E56" t="s">
        <v>2359</v>
      </c>
      <c r="F56" s="2">
        <f t="shared" si="0"/>
        <v>3571</v>
      </c>
      <c r="G56" s="1">
        <f t="shared" si="1"/>
        <v>175000</v>
      </c>
      <c r="H56" s="2">
        <f t="shared" si="2"/>
        <v>42</v>
      </c>
      <c r="I56" s="2">
        <f t="shared" si="3"/>
        <v>0</v>
      </c>
      <c r="J56">
        <f t="shared" si="4"/>
        <v>0</v>
      </c>
    </row>
    <row r="57" spans="1:10" x14ac:dyDescent="0.2">
      <c r="A57" t="s">
        <v>2535</v>
      </c>
      <c r="B57" t="s">
        <v>162</v>
      </c>
      <c r="C57" t="s">
        <v>2536</v>
      </c>
      <c r="D57" t="s">
        <v>2537</v>
      </c>
      <c r="E57" t="s">
        <v>2538</v>
      </c>
      <c r="F57" s="2">
        <f t="shared" si="0"/>
        <v>3553</v>
      </c>
      <c r="G57" s="1">
        <f t="shared" si="1"/>
        <v>149000</v>
      </c>
      <c r="H57" s="2">
        <f t="shared" si="2"/>
        <v>42</v>
      </c>
      <c r="I57" s="2">
        <f t="shared" si="3"/>
        <v>0</v>
      </c>
      <c r="J57">
        <f t="shared" si="4"/>
        <v>0</v>
      </c>
    </row>
    <row r="58" spans="1:10" x14ac:dyDescent="0.2">
      <c r="A58" t="s">
        <v>718</v>
      </c>
      <c r="B58" t="s">
        <v>342</v>
      </c>
      <c r="C58" t="s">
        <v>719</v>
      </c>
      <c r="D58" t="s">
        <v>720</v>
      </c>
      <c r="E58" t="s">
        <v>721</v>
      </c>
      <c r="F58" s="2">
        <f t="shared" si="0"/>
        <v>3553</v>
      </c>
      <c r="G58" s="1">
        <f t="shared" si="1"/>
        <v>155000</v>
      </c>
      <c r="H58" s="2">
        <f t="shared" si="2"/>
        <v>44</v>
      </c>
      <c r="I58" s="2">
        <f t="shared" si="3"/>
        <v>0</v>
      </c>
      <c r="J58">
        <f t="shared" si="4"/>
        <v>0</v>
      </c>
    </row>
    <row r="59" spans="1:10" x14ac:dyDescent="0.2">
      <c r="A59" t="s">
        <v>1785</v>
      </c>
      <c r="B59" t="s">
        <v>311</v>
      </c>
      <c r="C59" t="s">
        <v>1786</v>
      </c>
      <c r="D59" t="s">
        <v>1787</v>
      </c>
      <c r="E59" t="s">
        <v>721</v>
      </c>
      <c r="F59" s="2">
        <f t="shared" si="0"/>
        <v>3552</v>
      </c>
      <c r="G59" s="1">
        <f t="shared" si="1"/>
        <v>210000</v>
      </c>
      <c r="H59" s="2">
        <f t="shared" si="2"/>
        <v>44</v>
      </c>
      <c r="I59" s="2">
        <f t="shared" si="3"/>
        <v>0</v>
      </c>
      <c r="J59">
        <f t="shared" si="4"/>
        <v>0</v>
      </c>
    </row>
    <row r="60" spans="1:10" x14ac:dyDescent="0.2">
      <c r="A60" t="s">
        <v>2322</v>
      </c>
      <c r="B60" t="s">
        <v>377</v>
      </c>
      <c r="C60" t="s">
        <v>2323</v>
      </c>
      <c r="D60" t="s">
        <v>2324</v>
      </c>
      <c r="E60" t="s">
        <v>2325</v>
      </c>
      <c r="F60" s="2">
        <f t="shared" si="0"/>
        <v>3541</v>
      </c>
      <c r="G60" s="1">
        <f t="shared" si="1"/>
        <v>198000</v>
      </c>
      <c r="H60" s="2">
        <f t="shared" si="2"/>
        <v>44</v>
      </c>
      <c r="I60" s="2">
        <f t="shared" si="3"/>
        <v>0</v>
      </c>
      <c r="J60">
        <f t="shared" si="4"/>
        <v>0</v>
      </c>
    </row>
    <row r="61" spans="1:10" x14ac:dyDescent="0.2">
      <c r="A61" t="s">
        <v>315</v>
      </c>
      <c r="B61" t="s">
        <v>316</v>
      </c>
      <c r="C61" t="s">
        <v>317</v>
      </c>
      <c r="D61" t="s">
        <v>318</v>
      </c>
      <c r="E61" t="s">
        <v>319</v>
      </c>
      <c r="F61" s="2">
        <f t="shared" si="0"/>
        <v>3531</v>
      </c>
      <c r="G61" s="1">
        <f t="shared" si="1"/>
        <v>185000</v>
      </c>
      <c r="H61" s="2">
        <f t="shared" si="2"/>
        <v>45</v>
      </c>
      <c r="I61" s="2">
        <f t="shared" si="3"/>
        <v>0</v>
      </c>
      <c r="J61">
        <f t="shared" si="4"/>
        <v>0</v>
      </c>
    </row>
    <row r="62" spans="1:10" x14ac:dyDescent="0.2">
      <c r="A62" t="s">
        <v>2217</v>
      </c>
      <c r="B62" t="s">
        <v>69</v>
      </c>
      <c r="C62" t="s">
        <v>2218</v>
      </c>
      <c r="D62" t="s">
        <v>2219</v>
      </c>
      <c r="E62" t="s">
        <v>319</v>
      </c>
      <c r="F62" s="2">
        <f t="shared" si="0"/>
        <v>3553</v>
      </c>
      <c r="G62" s="1">
        <f t="shared" si="1"/>
        <v>179500</v>
      </c>
      <c r="H62" s="2">
        <f t="shared" si="2"/>
        <v>45</v>
      </c>
      <c r="I62" s="2">
        <f t="shared" si="3"/>
        <v>0</v>
      </c>
      <c r="J62">
        <f t="shared" si="4"/>
        <v>0</v>
      </c>
    </row>
    <row r="63" spans="1:10" x14ac:dyDescent="0.2">
      <c r="A63" t="s">
        <v>2810</v>
      </c>
      <c r="B63" t="s">
        <v>84</v>
      </c>
      <c r="C63" t="s">
        <v>2811</v>
      </c>
      <c r="D63" t="s">
        <v>444</v>
      </c>
      <c r="E63" t="s">
        <v>319</v>
      </c>
      <c r="F63" s="2">
        <f t="shared" si="0"/>
        <v>3571</v>
      </c>
      <c r="G63" s="1">
        <f t="shared" si="1"/>
        <v>200000</v>
      </c>
      <c r="H63" s="2">
        <f t="shared" si="2"/>
        <v>45</v>
      </c>
      <c r="I63" s="2">
        <f t="shared" si="3"/>
        <v>0</v>
      </c>
      <c r="J63">
        <f t="shared" si="4"/>
        <v>0</v>
      </c>
    </row>
    <row r="64" spans="1:10" x14ac:dyDescent="0.2">
      <c r="A64" t="s">
        <v>2878</v>
      </c>
      <c r="B64" t="s">
        <v>254</v>
      </c>
      <c r="C64" t="s">
        <v>2879</v>
      </c>
      <c r="D64" t="s">
        <v>591</v>
      </c>
      <c r="E64" t="s">
        <v>319</v>
      </c>
      <c r="F64" s="2">
        <f t="shared" si="0"/>
        <v>3525</v>
      </c>
      <c r="G64" s="1">
        <f t="shared" si="1"/>
        <v>169000</v>
      </c>
      <c r="H64" s="2">
        <f t="shared" si="2"/>
        <v>45</v>
      </c>
      <c r="I64" s="2">
        <f t="shared" si="3"/>
        <v>0</v>
      </c>
      <c r="J64">
        <f t="shared" si="4"/>
        <v>0</v>
      </c>
    </row>
    <row r="65" spans="1:10" x14ac:dyDescent="0.2">
      <c r="A65" t="s">
        <v>1721</v>
      </c>
      <c r="B65" t="s">
        <v>192</v>
      </c>
      <c r="C65" t="s">
        <v>1722</v>
      </c>
      <c r="D65" t="s">
        <v>339</v>
      </c>
      <c r="E65" t="s">
        <v>1723</v>
      </c>
      <c r="F65" s="2">
        <f t="shared" si="0"/>
        <v>3571</v>
      </c>
      <c r="G65" s="1">
        <f t="shared" si="1"/>
        <v>175000</v>
      </c>
      <c r="H65" s="2">
        <f t="shared" si="2"/>
        <v>46</v>
      </c>
      <c r="I65" s="2">
        <f t="shared" si="3"/>
        <v>0</v>
      </c>
      <c r="J65">
        <f t="shared" si="4"/>
        <v>0</v>
      </c>
    </row>
    <row r="66" spans="1:10" x14ac:dyDescent="0.2">
      <c r="A66" t="s">
        <v>2641</v>
      </c>
      <c r="B66" t="s">
        <v>792</v>
      </c>
      <c r="C66" t="s">
        <v>2642</v>
      </c>
      <c r="D66" t="s">
        <v>2643</v>
      </c>
      <c r="E66" t="s">
        <v>1723</v>
      </c>
      <c r="F66" s="2">
        <f t="shared" ref="F66:F129" si="5">VALUE(LEFT(RIGHT(C66,15),4))</f>
        <v>3525</v>
      </c>
      <c r="G66" s="1">
        <f t="shared" ref="G66:G129" si="6">VALUE(MID(D66,3,FIND(" ",D66,3)-3))</f>
        <v>167500</v>
      </c>
      <c r="H66" s="2">
        <f t="shared" ref="H66:H129" si="7">VALUE(LEFT(E66,FIND(" ",E66,1)-1))</f>
        <v>46</v>
      </c>
      <c r="I66" s="2">
        <f t="shared" ref="I66:I129" si="8">IFERROR(FIND("/",E66,1),0)</f>
        <v>0</v>
      </c>
      <c r="J66">
        <f t="shared" ref="J66:J129" si="9">IF(I66=0,0,VALUE(MID(E66,FIND("/",E66,1)+2,(FIND(" ",E66,FIND("/",E66,1)+2)-(FIND("/",E66,1))-1))))</f>
        <v>0</v>
      </c>
    </row>
    <row r="67" spans="1:10" x14ac:dyDescent="0.2">
      <c r="A67" t="s">
        <v>2651</v>
      </c>
      <c r="B67" t="s">
        <v>485</v>
      </c>
      <c r="C67" t="s">
        <v>2652</v>
      </c>
      <c r="D67" t="s">
        <v>2653</v>
      </c>
      <c r="E67" t="s">
        <v>2654</v>
      </c>
      <c r="F67" s="2">
        <f t="shared" si="5"/>
        <v>3532</v>
      </c>
      <c r="G67" s="1">
        <f t="shared" si="6"/>
        <v>169500</v>
      </c>
      <c r="H67" s="2">
        <f t="shared" si="7"/>
        <v>46</v>
      </c>
      <c r="I67" s="2">
        <f t="shared" si="8"/>
        <v>0</v>
      </c>
      <c r="J67">
        <f t="shared" si="9"/>
        <v>0</v>
      </c>
    </row>
    <row r="68" spans="1:10" x14ac:dyDescent="0.2">
      <c r="A68" t="s">
        <v>2915</v>
      </c>
      <c r="B68" t="s">
        <v>45</v>
      </c>
      <c r="C68" t="s">
        <v>2916</v>
      </c>
      <c r="D68" t="s">
        <v>318</v>
      </c>
      <c r="E68" t="s">
        <v>1723</v>
      </c>
      <c r="F68" s="2">
        <f t="shared" si="5"/>
        <v>3571</v>
      </c>
      <c r="G68" s="1">
        <f t="shared" si="6"/>
        <v>185000</v>
      </c>
      <c r="H68" s="2">
        <f t="shared" si="7"/>
        <v>46</v>
      </c>
      <c r="I68" s="2">
        <f t="shared" si="8"/>
        <v>0</v>
      </c>
      <c r="J68">
        <f t="shared" si="9"/>
        <v>0</v>
      </c>
    </row>
    <row r="69" spans="1:10" x14ac:dyDescent="0.2">
      <c r="A69" t="s">
        <v>2866</v>
      </c>
      <c r="B69" t="s">
        <v>254</v>
      </c>
      <c r="C69" t="s">
        <v>2867</v>
      </c>
      <c r="D69" t="s">
        <v>318</v>
      </c>
      <c r="E69" t="s">
        <v>2868</v>
      </c>
      <c r="F69" s="2">
        <f t="shared" si="5"/>
        <v>3552</v>
      </c>
      <c r="G69" s="1">
        <f t="shared" si="6"/>
        <v>185000</v>
      </c>
      <c r="H69" s="2">
        <f t="shared" si="7"/>
        <v>47</v>
      </c>
      <c r="I69" s="2">
        <f t="shared" si="8"/>
        <v>0</v>
      </c>
      <c r="J69">
        <f t="shared" si="9"/>
        <v>0</v>
      </c>
    </row>
    <row r="70" spans="1:10" x14ac:dyDescent="0.2">
      <c r="A70" t="s">
        <v>2869</v>
      </c>
      <c r="B70" t="s">
        <v>45</v>
      </c>
      <c r="C70" t="s">
        <v>2870</v>
      </c>
      <c r="D70" t="s">
        <v>261</v>
      </c>
      <c r="E70" t="s">
        <v>2868</v>
      </c>
      <c r="F70" s="2">
        <f t="shared" si="5"/>
        <v>3526</v>
      </c>
      <c r="G70" s="1">
        <f t="shared" si="6"/>
        <v>195000</v>
      </c>
      <c r="H70" s="2">
        <f t="shared" si="7"/>
        <v>47</v>
      </c>
      <c r="I70" s="2">
        <f t="shared" si="8"/>
        <v>0</v>
      </c>
      <c r="J70">
        <f t="shared" si="9"/>
        <v>0</v>
      </c>
    </row>
    <row r="71" spans="1:10" x14ac:dyDescent="0.2">
      <c r="A71" t="s">
        <v>968</v>
      </c>
      <c r="B71" t="s">
        <v>152</v>
      </c>
      <c r="C71" t="s">
        <v>969</v>
      </c>
      <c r="D71" t="s">
        <v>970</v>
      </c>
      <c r="E71" t="s">
        <v>971</v>
      </c>
      <c r="F71" s="2">
        <f t="shared" si="5"/>
        <v>3525</v>
      </c>
      <c r="G71" s="1">
        <f t="shared" si="6"/>
        <v>174000</v>
      </c>
      <c r="H71" s="2">
        <f t="shared" si="7"/>
        <v>48</v>
      </c>
      <c r="I71" s="2">
        <f t="shared" si="8"/>
        <v>0</v>
      </c>
      <c r="J71">
        <f t="shared" si="9"/>
        <v>0</v>
      </c>
    </row>
    <row r="72" spans="1:10" x14ac:dyDescent="0.2">
      <c r="A72" t="s">
        <v>1774</v>
      </c>
      <c r="B72" t="s">
        <v>35</v>
      </c>
      <c r="C72" t="s">
        <v>1775</v>
      </c>
      <c r="D72" t="s">
        <v>491</v>
      </c>
      <c r="E72" t="s">
        <v>971</v>
      </c>
      <c r="F72" s="2">
        <f t="shared" si="5"/>
        <v>3515</v>
      </c>
      <c r="G72" s="1">
        <f t="shared" si="6"/>
        <v>215000</v>
      </c>
      <c r="H72" s="2">
        <f t="shared" si="7"/>
        <v>48</v>
      </c>
      <c r="I72" s="2">
        <f t="shared" si="8"/>
        <v>0</v>
      </c>
      <c r="J72">
        <f t="shared" si="9"/>
        <v>0</v>
      </c>
    </row>
    <row r="73" spans="1:10" x14ac:dyDescent="0.2">
      <c r="A73" t="s">
        <v>1852</v>
      </c>
      <c r="B73" t="s">
        <v>130</v>
      </c>
      <c r="C73" t="s">
        <v>1853</v>
      </c>
      <c r="D73" t="s">
        <v>569</v>
      </c>
      <c r="E73" t="s">
        <v>1854</v>
      </c>
      <c r="F73" s="2">
        <f t="shared" si="5"/>
        <v>3582</v>
      </c>
      <c r="G73" s="1">
        <f t="shared" si="6"/>
        <v>249000</v>
      </c>
      <c r="H73" s="2">
        <f t="shared" si="7"/>
        <v>48</v>
      </c>
      <c r="I73" s="2">
        <f t="shared" si="8"/>
        <v>0</v>
      </c>
      <c r="J73">
        <f t="shared" si="9"/>
        <v>0</v>
      </c>
    </row>
    <row r="74" spans="1:10" x14ac:dyDescent="0.2">
      <c r="A74" t="s">
        <v>2114</v>
      </c>
      <c r="B74" t="s">
        <v>325</v>
      </c>
      <c r="C74" t="s">
        <v>2115</v>
      </c>
      <c r="D74" t="s">
        <v>251</v>
      </c>
      <c r="E74" t="s">
        <v>971</v>
      </c>
      <c r="F74" s="2">
        <f t="shared" si="5"/>
        <v>3511</v>
      </c>
      <c r="G74" s="1">
        <f t="shared" si="6"/>
        <v>270000</v>
      </c>
      <c r="H74" s="2">
        <f t="shared" si="7"/>
        <v>48</v>
      </c>
      <c r="I74" s="2">
        <f t="shared" si="8"/>
        <v>0</v>
      </c>
      <c r="J74">
        <f t="shared" si="9"/>
        <v>0</v>
      </c>
    </row>
    <row r="75" spans="1:10" x14ac:dyDescent="0.2">
      <c r="A75" t="s">
        <v>2125</v>
      </c>
      <c r="B75" t="s">
        <v>74</v>
      </c>
      <c r="C75" t="s">
        <v>2126</v>
      </c>
      <c r="D75" t="s">
        <v>444</v>
      </c>
      <c r="E75" t="s">
        <v>971</v>
      </c>
      <c r="F75" s="2">
        <f t="shared" si="5"/>
        <v>3553</v>
      </c>
      <c r="G75" s="1">
        <f t="shared" si="6"/>
        <v>200000</v>
      </c>
      <c r="H75" s="2">
        <f t="shared" si="7"/>
        <v>48</v>
      </c>
      <c r="I75" s="2">
        <f t="shared" si="8"/>
        <v>0</v>
      </c>
      <c r="J75">
        <f t="shared" si="9"/>
        <v>0</v>
      </c>
    </row>
    <row r="76" spans="1:10" x14ac:dyDescent="0.2">
      <c r="A76" t="s">
        <v>2229</v>
      </c>
      <c r="B76" t="s">
        <v>536</v>
      </c>
      <c r="C76" t="s">
        <v>2230</v>
      </c>
      <c r="D76" t="s">
        <v>2231</v>
      </c>
      <c r="E76" t="s">
        <v>971</v>
      </c>
      <c r="F76" s="2">
        <f t="shared" si="5"/>
        <v>3571</v>
      </c>
      <c r="G76" s="1">
        <f t="shared" si="6"/>
        <v>159000</v>
      </c>
      <c r="H76" s="2">
        <f t="shared" si="7"/>
        <v>48</v>
      </c>
      <c r="I76" s="2">
        <f t="shared" si="8"/>
        <v>0</v>
      </c>
      <c r="J76">
        <f t="shared" si="9"/>
        <v>0</v>
      </c>
    </row>
    <row r="77" spans="1:10" x14ac:dyDescent="0.2">
      <c r="A77" t="s">
        <v>2480</v>
      </c>
      <c r="B77" t="s">
        <v>240</v>
      </c>
      <c r="C77" t="s">
        <v>2481</v>
      </c>
      <c r="D77" t="s">
        <v>374</v>
      </c>
      <c r="E77" t="s">
        <v>971</v>
      </c>
      <c r="F77" s="2">
        <f t="shared" si="5"/>
        <v>3571</v>
      </c>
      <c r="G77" s="1">
        <f t="shared" si="6"/>
        <v>165000</v>
      </c>
      <c r="H77" s="2">
        <f t="shared" si="7"/>
        <v>48</v>
      </c>
      <c r="I77" s="2">
        <f t="shared" si="8"/>
        <v>0</v>
      </c>
      <c r="J77">
        <f t="shared" si="9"/>
        <v>0</v>
      </c>
    </row>
    <row r="78" spans="1:10" x14ac:dyDescent="0.2">
      <c r="A78" t="s">
        <v>2071</v>
      </c>
      <c r="B78" t="s">
        <v>575</v>
      </c>
      <c r="C78" t="s">
        <v>2072</v>
      </c>
      <c r="D78" t="s">
        <v>2073</v>
      </c>
      <c r="E78" t="s">
        <v>2074</v>
      </c>
      <c r="F78" s="2">
        <f t="shared" si="5"/>
        <v>3524</v>
      </c>
      <c r="G78" s="1">
        <f t="shared" si="6"/>
        <v>170000</v>
      </c>
      <c r="H78" s="2">
        <f t="shared" si="7"/>
        <v>49</v>
      </c>
      <c r="I78" s="2">
        <f t="shared" si="8"/>
        <v>0</v>
      </c>
      <c r="J78">
        <f t="shared" si="9"/>
        <v>0</v>
      </c>
    </row>
    <row r="79" spans="1:10" x14ac:dyDescent="0.2">
      <c r="A79" t="s">
        <v>372</v>
      </c>
      <c r="B79" t="s">
        <v>259</v>
      </c>
      <c r="C79" t="s">
        <v>373</v>
      </c>
      <c r="D79" t="s">
        <v>374</v>
      </c>
      <c r="E79" t="s">
        <v>375</v>
      </c>
      <c r="F79" s="2">
        <f t="shared" si="5"/>
        <v>3531</v>
      </c>
      <c r="G79" s="1">
        <f t="shared" si="6"/>
        <v>165000</v>
      </c>
      <c r="H79" s="2">
        <f t="shared" si="7"/>
        <v>50</v>
      </c>
      <c r="I79" s="2">
        <f t="shared" si="8"/>
        <v>0</v>
      </c>
      <c r="J79">
        <f t="shared" si="9"/>
        <v>0</v>
      </c>
    </row>
    <row r="80" spans="1:10" x14ac:dyDescent="0.2">
      <c r="A80" t="s">
        <v>1411</v>
      </c>
      <c r="B80" t="s">
        <v>1014</v>
      </c>
      <c r="C80" t="s">
        <v>1412</v>
      </c>
      <c r="D80" t="s">
        <v>57</v>
      </c>
      <c r="E80" t="s">
        <v>1413</v>
      </c>
      <c r="F80" s="2">
        <f t="shared" si="5"/>
        <v>3513</v>
      </c>
      <c r="G80" s="1">
        <f t="shared" si="6"/>
        <v>225000</v>
      </c>
      <c r="H80" s="2">
        <f t="shared" si="7"/>
        <v>50</v>
      </c>
      <c r="I80" s="2">
        <f t="shared" si="8"/>
        <v>0</v>
      </c>
      <c r="J80">
        <f t="shared" si="9"/>
        <v>0</v>
      </c>
    </row>
    <row r="81" spans="1:10" x14ac:dyDescent="0.2">
      <c r="A81" t="s">
        <v>1494</v>
      </c>
      <c r="B81" t="s">
        <v>342</v>
      </c>
      <c r="C81" t="s">
        <v>1495</v>
      </c>
      <c r="D81" t="s">
        <v>108</v>
      </c>
      <c r="E81" t="s">
        <v>1413</v>
      </c>
      <c r="F81" s="2">
        <f t="shared" si="5"/>
        <v>3512</v>
      </c>
      <c r="G81" s="1">
        <f t="shared" si="6"/>
        <v>350000</v>
      </c>
      <c r="H81" s="2">
        <f t="shared" si="7"/>
        <v>50</v>
      </c>
      <c r="I81" s="2">
        <f t="shared" si="8"/>
        <v>0</v>
      </c>
      <c r="J81">
        <f t="shared" si="9"/>
        <v>0</v>
      </c>
    </row>
    <row r="82" spans="1:10" x14ac:dyDescent="0.2">
      <c r="A82" t="s">
        <v>1730</v>
      </c>
      <c r="B82" t="s">
        <v>152</v>
      </c>
      <c r="C82" t="s">
        <v>1731</v>
      </c>
      <c r="D82" t="s">
        <v>741</v>
      </c>
      <c r="E82" t="s">
        <v>1413</v>
      </c>
      <c r="F82" s="2">
        <f t="shared" si="5"/>
        <v>3512</v>
      </c>
      <c r="G82" s="1">
        <f t="shared" si="6"/>
        <v>235000</v>
      </c>
      <c r="H82" s="2">
        <f t="shared" si="7"/>
        <v>50</v>
      </c>
      <c r="I82" s="2">
        <f t="shared" si="8"/>
        <v>0</v>
      </c>
      <c r="J82">
        <f t="shared" si="9"/>
        <v>0</v>
      </c>
    </row>
    <row r="83" spans="1:10" x14ac:dyDescent="0.2">
      <c r="A83" t="s">
        <v>2330</v>
      </c>
      <c r="B83" t="s">
        <v>451</v>
      </c>
      <c r="C83" t="s">
        <v>2331</v>
      </c>
      <c r="D83" t="s">
        <v>261</v>
      </c>
      <c r="E83" t="s">
        <v>1413</v>
      </c>
      <c r="F83" s="2">
        <f t="shared" si="5"/>
        <v>3553</v>
      </c>
      <c r="G83" s="1">
        <f t="shared" si="6"/>
        <v>195000</v>
      </c>
      <c r="H83" s="2">
        <f t="shared" si="7"/>
        <v>50</v>
      </c>
      <c r="I83" s="2">
        <f t="shared" si="8"/>
        <v>0</v>
      </c>
      <c r="J83">
        <f t="shared" si="9"/>
        <v>0</v>
      </c>
    </row>
    <row r="84" spans="1:10" x14ac:dyDescent="0.2">
      <c r="A84" t="s">
        <v>305</v>
      </c>
      <c r="B84" t="s">
        <v>306</v>
      </c>
      <c r="C84" t="s">
        <v>307</v>
      </c>
      <c r="D84" t="s">
        <v>308</v>
      </c>
      <c r="E84" t="s">
        <v>309</v>
      </c>
      <c r="F84" s="2">
        <f t="shared" si="5"/>
        <v>3531</v>
      </c>
      <c r="G84" s="1">
        <f t="shared" si="6"/>
        <v>198000</v>
      </c>
      <c r="H84" s="2">
        <f t="shared" si="7"/>
        <v>51</v>
      </c>
      <c r="I84" s="2">
        <f t="shared" si="8"/>
        <v>0</v>
      </c>
      <c r="J84">
        <f t="shared" si="9"/>
        <v>0</v>
      </c>
    </row>
    <row r="85" spans="1:10" x14ac:dyDescent="0.2">
      <c r="A85" t="s">
        <v>1231</v>
      </c>
      <c r="B85" t="s">
        <v>560</v>
      </c>
      <c r="C85" t="s">
        <v>1232</v>
      </c>
      <c r="D85" t="s">
        <v>753</v>
      </c>
      <c r="E85" t="s">
        <v>1233</v>
      </c>
      <c r="F85" s="2">
        <f t="shared" si="5"/>
        <v>3582</v>
      </c>
      <c r="G85" s="1">
        <f t="shared" si="6"/>
        <v>189000</v>
      </c>
      <c r="H85" s="2">
        <f t="shared" si="7"/>
        <v>51</v>
      </c>
      <c r="I85" s="2">
        <f t="shared" si="8"/>
        <v>0</v>
      </c>
      <c r="J85">
        <f t="shared" si="9"/>
        <v>0</v>
      </c>
    </row>
    <row r="86" spans="1:10" x14ac:dyDescent="0.2">
      <c r="A86" t="s">
        <v>1647</v>
      </c>
      <c r="B86" t="s">
        <v>60</v>
      </c>
      <c r="C86" t="s">
        <v>1648</v>
      </c>
      <c r="D86" t="s">
        <v>47</v>
      </c>
      <c r="E86" t="s">
        <v>1649</v>
      </c>
      <c r="F86" s="2">
        <f t="shared" si="5"/>
        <v>3512</v>
      </c>
      <c r="G86" s="1">
        <f t="shared" si="6"/>
        <v>289000</v>
      </c>
      <c r="H86" s="2">
        <f t="shared" si="7"/>
        <v>51</v>
      </c>
      <c r="I86" s="2">
        <f t="shared" si="8"/>
        <v>7</v>
      </c>
      <c r="J86">
        <f t="shared" si="9"/>
        <v>41</v>
      </c>
    </row>
    <row r="87" spans="1:10" x14ac:dyDescent="0.2">
      <c r="A87" t="s">
        <v>1956</v>
      </c>
      <c r="B87" t="s">
        <v>342</v>
      </c>
      <c r="C87" t="s">
        <v>1957</v>
      </c>
      <c r="D87" t="s">
        <v>261</v>
      </c>
      <c r="E87" t="s">
        <v>1233</v>
      </c>
      <c r="F87" s="2">
        <f t="shared" si="5"/>
        <v>3555</v>
      </c>
      <c r="G87" s="1">
        <f t="shared" si="6"/>
        <v>195000</v>
      </c>
      <c r="H87" s="2">
        <f t="shared" si="7"/>
        <v>51</v>
      </c>
      <c r="I87" s="2">
        <f t="shared" si="8"/>
        <v>0</v>
      </c>
      <c r="J87">
        <f t="shared" si="9"/>
        <v>0</v>
      </c>
    </row>
    <row r="88" spans="1:10" x14ac:dyDescent="0.2">
      <c r="A88" t="s">
        <v>751</v>
      </c>
      <c r="B88" t="s">
        <v>575</v>
      </c>
      <c r="C88" t="s">
        <v>752</v>
      </c>
      <c r="D88" t="s">
        <v>753</v>
      </c>
      <c r="E88" t="s">
        <v>754</v>
      </c>
      <c r="F88" s="2">
        <f t="shared" si="5"/>
        <v>3531</v>
      </c>
      <c r="G88" s="1">
        <f t="shared" si="6"/>
        <v>189000</v>
      </c>
      <c r="H88" s="2">
        <f t="shared" si="7"/>
        <v>52</v>
      </c>
      <c r="I88" s="2">
        <f t="shared" si="8"/>
        <v>0</v>
      </c>
      <c r="J88">
        <f t="shared" si="9"/>
        <v>0</v>
      </c>
    </row>
    <row r="89" spans="1:10" x14ac:dyDescent="0.2">
      <c r="A89" t="s">
        <v>895</v>
      </c>
      <c r="B89" t="s">
        <v>157</v>
      </c>
      <c r="C89" t="s">
        <v>896</v>
      </c>
      <c r="D89" t="s">
        <v>444</v>
      </c>
      <c r="E89" t="s">
        <v>897</v>
      </c>
      <c r="F89" s="2">
        <f t="shared" si="5"/>
        <v>3523</v>
      </c>
      <c r="G89" s="1">
        <f t="shared" si="6"/>
        <v>200000</v>
      </c>
      <c r="H89" s="2">
        <f t="shared" si="7"/>
        <v>52</v>
      </c>
      <c r="I89" s="2">
        <f t="shared" si="8"/>
        <v>0</v>
      </c>
      <c r="J89">
        <f t="shared" si="9"/>
        <v>0</v>
      </c>
    </row>
    <row r="90" spans="1:10" x14ac:dyDescent="0.2">
      <c r="A90" t="s">
        <v>915</v>
      </c>
      <c r="B90" t="s">
        <v>11</v>
      </c>
      <c r="C90" t="s">
        <v>916</v>
      </c>
      <c r="D90" t="s">
        <v>917</v>
      </c>
      <c r="E90" t="s">
        <v>754</v>
      </c>
      <c r="F90" s="2">
        <f t="shared" si="5"/>
        <v>3521</v>
      </c>
      <c r="G90" s="1">
        <f t="shared" si="6"/>
        <v>264000</v>
      </c>
      <c r="H90" s="2">
        <f t="shared" si="7"/>
        <v>52</v>
      </c>
      <c r="I90" s="2">
        <f t="shared" si="8"/>
        <v>0</v>
      </c>
      <c r="J90">
        <f t="shared" si="9"/>
        <v>0</v>
      </c>
    </row>
    <row r="91" spans="1:10" x14ac:dyDescent="0.2">
      <c r="A91" t="s">
        <v>1312</v>
      </c>
      <c r="B91" t="s">
        <v>64</v>
      </c>
      <c r="C91" t="s">
        <v>1313</v>
      </c>
      <c r="D91" t="s">
        <v>1314</v>
      </c>
      <c r="E91" t="s">
        <v>1315</v>
      </c>
      <c r="F91" s="2">
        <f t="shared" si="5"/>
        <v>3512</v>
      </c>
      <c r="G91" s="1">
        <f t="shared" si="6"/>
        <v>287500</v>
      </c>
      <c r="H91" s="2">
        <f t="shared" si="7"/>
        <v>52</v>
      </c>
      <c r="I91" s="2">
        <f t="shared" si="8"/>
        <v>7</v>
      </c>
      <c r="J91">
        <f t="shared" si="9"/>
        <v>32</v>
      </c>
    </row>
    <row r="92" spans="1:10" x14ac:dyDescent="0.2">
      <c r="A92" t="s">
        <v>1939</v>
      </c>
      <c r="B92" t="s">
        <v>11</v>
      </c>
      <c r="C92" t="s">
        <v>1940</v>
      </c>
      <c r="D92" t="s">
        <v>339</v>
      </c>
      <c r="E92" t="s">
        <v>754</v>
      </c>
      <c r="F92" s="2">
        <f t="shared" si="5"/>
        <v>3523</v>
      </c>
      <c r="G92" s="1">
        <f t="shared" si="6"/>
        <v>175000</v>
      </c>
      <c r="H92" s="2">
        <f t="shared" si="7"/>
        <v>52</v>
      </c>
      <c r="I92" s="2">
        <f t="shared" si="8"/>
        <v>0</v>
      </c>
      <c r="J92">
        <f t="shared" si="9"/>
        <v>0</v>
      </c>
    </row>
    <row r="93" spans="1:10" x14ac:dyDescent="0.2">
      <c r="A93" t="s">
        <v>2430</v>
      </c>
      <c r="B93" t="s">
        <v>355</v>
      </c>
      <c r="C93" t="s">
        <v>2431</v>
      </c>
      <c r="D93" t="s">
        <v>274</v>
      </c>
      <c r="E93" t="s">
        <v>754</v>
      </c>
      <c r="F93" s="2">
        <f t="shared" si="5"/>
        <v>3532</v>
      </c>
      <c r="G93" s="1">
        <f t="shared" si="6"/>
        <v>209000</v>
      </c>
      <c r="H93" s="2">
        <f t="shared" si="7"/>
        <v>52</v>
      </c>
      <c r="I93" s="2">
        <f t="shared" si="8"/>
        <v>0</v>
      </c>
      <c r="J93">
        <f t="shared" si="9"/>
        <v>0</v>
      </c>
    </row>
    <row r="94" spans="1:10" x14ac:dyDescent="0.2">
      <c r="A94" t="s">
        <v>1511</v>
      </c>
      <c r="B94" t="s">
        <v>204</v>
      </c>
      <c r="C94" t="s">
        <v>1512</v>
      </c>
      <c r="D94" t="s">
        <v>374</v>
      </c>
      <c r="E94" t="s">
        <v>1513</v>
      </c>
      <c r="F94" s="2">
        <f t="shared" si="5"/>
        <v>3526</v>
      </c>
      <c r="G94" s="1">
        <f t="shared" si="6"/>
        <v>165000</v>
      </c>
      <c r="H94" s="2">
        <f t="shared" si="7"/>
        <v>53</v>
      </c>
      <c r="I94" s="2">
        <f t="shared" si="8"/>
        <v>0</v>
      </c>
      <c r="J94">
        <f t="shared" si="9"/>
        <v>0</v>
      </c>
    </row>
    <row r="95" spans="1:10" x14ac:dyDescent="0.2">
      <c r="A95" t="s">
        <v>263</v>
      </c>
      <c r="B95" t="s">
        <v>264</v>
      </c>
      <c r="C95" t="s">
        <v>265</v>
      </c>
      <c r="D95" t="s">
        <v>266</v>
      </c>
      <c r="E95" t="s">
        <v>267</v>
      </c>
      <c r="F95" s="2">
        <f t="shared" si="5"/>
        <v>3512</v>
      </c>
      <c r="G95" s="1">
        <f t="shared" si="6"/>
        <v>255000</v>
      </c>
      <c r="H95" s="2">
        <f t="shared" si="7"/>
        <v>54</v>
      </c>
      <c r="I95" s="2">
        <f t="shared" si="8"/>
        <v>7</v>
      </c>
      <c r="J95">
        <f t="shared" si="9"/>
        <v>36</v>
      </c>
    </row>
    <row r="96" spans="1:10" x14ac:dyDescent="0.2">
      <c r="A96" t="s">
        <v>1420</v>
      </c>
      <c r="B96" t="s">
        <v>204</v>
      </c>
      <c r="C96" t="s">
        <v>1421</v>
      </c>
      <c r="D96" t="s">
        <v>339</v>
      </c>
      <c r="E96" t="s">
        <v>1422</v>
      </c>
      <c r="F96" s="2">
        <f t="shared" si="5"/>
        <v>3555</v>
      </c>
      <c r="G96" s="1">
        <f t="shared" si="6"/>
        <v>175000</v>
      </c>
      <c r="H96" s="2">
        <f t="shared" si="7"/>
        <v>54</v>
      </c>
      <c r="I96" s="2">
        <f t="shared" si="8"/>
        <v>0</v>
      </c>
      <c r="J96">
        <f t="shared" si="9"/>
        <v>0</v>
      </c>
    </row>
    <row r="97" spans="1:10" x14ac:dyDescent="0.2">
      <c r="A97" t="s">
        <v>1540</v>
      </c>
      <c r="B97" t="s">
        <v>259</v>
      </c>
      <c r="C97" t="s">
        <v>1541</v>
      </c>
      <c r="D97" t="s">
        <v>1542</v>
      </c>
      <c r="E97" t="s">
        <v>1422</v>
      </c>
      <c r="F97" s="2">
        <f t="shared" si="5"/>
        <v>3564</v>
      </c>
      <c r="G97" s="1">
        <f t="shared" si="6"/>
        <v>152500</v>
      </c>
      <c r="H97" s="2">
        <f t="shared" si="7"/>
        <v>54</v>
      </c>
      <c r="I97" s="2">
        <f t="shared" si="8"/>
        <v>0</v>
      </c>
      <c r="J97">
        <f t="shared" si="9"/>
        <v>0</v>
      </c>
    </row>
    <row r="98" spans="1:10" x14ac:dyDescent="0.2">
      <c r="A98" t="s">
        <v>2574</v>
      </c>
      <c r="B98" t="s">
        <v>552</v>
      </c>
      <c r="C98" t="s">
        <v>2575</v>
      </c>
      <c r="D98" t="s">
        <v>379</v>
      </c>
      <c r="E98" t="s">
        <v>2576</v>
      </c>
      <c r="F98" s="2">
        <f t="shared" si="5"/>
        <v>3581</v>
      </c>
      <c r="G98" s="1">
        <f t="shared" si="6"/>
        <v>275000</v>
      </c>
      <c r="H98" s="2">
        <f t="shared" si="7"/>
        <v>54</v>
      </c>
      <c r="I98" s="2">
        <f t="shared" si="8"/>
        <v>7</v>
      </c>
      <c r="J98">
        <f t="shared" si="9"/>
        <v>38</v>
      </c>
    </row>
    <row r="99" spans="1:10" x14ac:dyDescent="0.2">
      <c r="A99" t="s">
        <v>629</v>
      </c>
      <c r="B99" t="s">
        <v>355</v>
      </c>
      <c r="C99" t="s">
        <v>630</v>
      </c>
      <c r="D99" t="s">
        <v>215</v>
      </c>
      <c r="E99" t="s">
        <v>631</v>
      </c>
      <c r="F99" s="2">
        <f t="shared" si="5"/>
        <v>3526</v>
      </c>
      <c r="G99" s="1">
        <f t="shared" si="6"/>
        <v>145000</v>
      </c>
      <c r="H99" s="2">
        <f t="shared" si="7"/>
        <v>55</v>
      </c>
      <c r="I99" s="2">
        <f t="shared" si="8"/>
        <v>0</v>
      </c>
      <c r="J99">
        <f t="shared" si="9"/>
        <v>0</v>
      </c>
    </row>
    <row r="100" spans="1:10" x14ac:dyDescent="0.2">
      <c r="A100" t="s">
        <v>2183</v>
      </c>
      <c r="B100" t="s">
        <v>575</v>
      </c>
      <c r="C100" t="s">
        <v>2184</v>
      </c>
      <c r="D100" t="s">
        <v>839</v>
      </c>
      <c r="E100" t="s">
        <v>2185</v>
      </c>
      <c r="F100" s="2">
        <f t="shared" si="5"/>
        <v>3514</v>
      </c>
      <c r="G100" s="1">
        <f t="shared" si="6"/>
        <v>299000</v>
      </c>
      <c r="H100" s="2">
        <f t="shared" si="7"/>
        <v>55</v>
      </c>
      <c r="I100" s="2">
        <f t="shared" si="8"/>
        <v>0</v>
      </c>
      <c r="J100">
        <f t="shared" si="9"/>
        <v>0</v>
      </c>
    </row>
    <row r="101" spans="1:10" x14ac:dyDescent="0.2">
      <c r="A101" t="s">
        <v>2623</v>
      </c>
      <c r="B101" t="s">
        <v>120</v>
      </c>
      <c r="C101" t="s">
        <v>2624</v>
      </c>
      <c r="D101" t="s">
        <v>2625</v>
      </c>
      <c r="E101" t="s">
        <v>631</v>
      </c>
      <c r="F101" s="2">
        <f t="shared" si="5"/>
        <v>3531</v>
      </c>
      <c r="G101" s="1">
        <f t="shared" si="6"/>
        <v>220000</v>
      </c>
      <c r="H101" s="2">
        <f t="shared" si="7"/>
        <v>55</v>
      </c>
      <c r="I101" s="2">
        <f t="shared" si="8"/>
        <v>0</v>
      </c>
      <c r="J101">
        <f t="shared" si="9"/>
        <v>0</v>
      </c>
    </row>
    <row r="102" spans="1:10" x14ac:dyDescent="0.2">
      <c r="A102" t="s">
        <v>589</v>
      </c>
      <c r="B102" t="s">
        <v>560</v>
      </c>
      <c r="C102" t="s">
        <v>590</v>
      </c>
      <c r="D102" t="s">
        <v>591</v>
      </c>
      <c r="E102" t="s">
        <v>592</v>
      </c>
      <c r="F102" s="2">
        <f t="shared" si="5"/>
        <v>3526</v>
      </c>
      <c r="G102" s="1">
        <f t="shared" si="6"/>
        <v>169000</v>
      </c>
      <c r="H102" s="2">
        <f t="shared" si="7"/>
        <v>56</v>
      </c>
      <c r="I102" s="2">
        <f t="shared" si="8"/>
        <v>0</v>
      </c>
      <c r="J102">
        <f t="shared" si="9"/>
        <v>0</v>
      </c>
    </row>
    <row r="103" spans="1:10" x14ac:dyDescent="0.2">
      <c r="A103" t="s">
        <v>657</v>
      </c>
      <c r="B103" t="s">
        <v>175</v>
      </c>
      <c r="C103" t="s">
        <v>658</v>
      </c>
      <c r="D103" t="s">
        <v>327</v>
      </c>
      <c r="E103" t="s">
        <v>659</v>
      </c>
      <c r="F103" s="2">
        <f t="shared" si="5"/>
        <v>3513</v>
      </c>
      <c r="G103" s="1">
        <f t="shared" si="6"/>
        <v>245000</v>
      </c>
      <c r="H103" s="2">
        <f t="shared" si="7"/>
        <v>56</v>
      </c>
      <c r="I103" s="2">
        <f t="shared" si="8"/>
        <v>0</v>
      </c>
      <c r="J103">
        <f t="shared" si="9"/>
        <v>0</v>
      </c>
    </row>
    <row r="104" spans="1:10" x14ac:dyDescent="0.2">
      <c r="A104" t="s">
        <v>1342</v>
      </c>
      <c r="B104" t="s">
        <v>833</v>
      </c>
      <c r="C104" t="s">
        <v>1343</v>
      </c>
      <c r="D104" t="s">
        <v>482</v>
      </c>
      <c r="E104" t="s">
        <v>1344</v>
      </c>
      <c r="F104" s="2">
        <f t="shared" si="5"/>
        <v>3553</v>
      </c>
      <c r="G104" s="1">
        <f t="shared" si="6"/>
        <v>230000</v>
      </c>
      <c r="H104" s="2">
        <f t="shared" si="7"/>
        <v>56</v>
      </c>
      <c r="I104" s="2">
        <f t="shared" si="8"/>
        <v>7</v>
      </c>
      <c r="J104">
        <f t="shared" si="9"/>
        <v>79</v>
      </c>
    </row>
    <row r="105" spans="1:10" x14ac:dyDescent="0.2">
      <c r="A105" t="s">
        <v>2057</v>
      </c>
      <c r="B105" t="s">
        <v>175</v>
      </c>
      <c r="C105" t="s">
        <v>2058</v>
      </c>
      <c r="D105" t="s">
        <v>206</v>
      </c>
      <c r="E105" t="s">
        <v>592</v>
      </c>
      <c r="F105" s="2">
        <f t="shared" si="5"/>
        <v>3514</v>
      </c>
      <c r="G105" s="1">
        <f t="shared" si="6"/>
        <v>260000</v>
      </c>
      <c r="H105" s="2">
        <f t="shared" si="7"/>
        <v>56</v>
      </c>
      <c r="I105" s="2">
        <f t="shared" si="8"/>
        <v>0</v>
      </c>
      <c r="J105">
        <f t="shared" si="9"/>
        <v>0</v>
      </c>
    </row>
    <row r="106" spans="1:10" x14ac:dyDescent="0.2">
      <c r="A106" t="s">
        <v>2255</v>
      </c>
      <c r="B106" t="s">
        <v>152</v>
      </c>
      <c r="C106" t="s">
        <v>2256</v>
      </c>
      <c r="D106" t="s">
        <v>57</v>
      </c>
      <c r="E106" t="s">
        <v>592</v>
      </c>
      <c r="F106" s="2">
        <f t="shared" si="5"/>
        <v>3572</v>
      </c>
      <c r="G106" s="1">
        <f t="shared" si="6"/>
        <v>225000</v>
      </c>
      <c r="H106" s="2">
        <f t="shared" si="7"/>
        <v>56</v>
      </c>
      <c r="I106" s="2">
        <f t="shared" si="8"/>
        <v>0</v>
      </c>
      <c r="J106">
        <f t="shared" si="9"/>
        <v>0</v>
      </c>
    </row>
    <row r="107" spans="1:10" x14ac:dyDescent="0.2">
      <c r="A107" t="s">
        <v>406</v>
      </c>
      <c r="B107" t="s">
        <v>74</v>
      </c>
      <c r="C107" t="s">
        <v>407</v>
      </c>
      <c r="D107" t="s">
        <v>8</v>
      </c>
      <c r="E107" t="s">
        <v>408</v>
      </c>
      <c r="F107" s="2">
        <f t="shared" si="5"/>
        <v>3512</v>
      </c>
      <c r="G107" s="1">
        <f t="shared" si="6"/>
        <v>399000</v>
      </c>
      <c r="H107" s="2">
        <f t="shared" si="7"/>
        <v>57</v>
      </c>
      <c r="I107" s="2">
        <f t="shared" si="8"/>
        <v>0</v>
      </c>
      <c r="J107">
        <f t="shared" si="9"/>
        <v>0</v>
      </c>
    </row>
    <row r="108" spans="1:10" x14ac:dyDescent="0.2">
      <c r="A108" t="s">
        <v>1083</v>
      </c>
      <c r="B108" t="s">
        <v>74</v>
      </c>
      <c r="C108" t="s">
        <v>1084</v>
      </c>
      <c r="D108" t="s">
        <v>839</v>
      </c>
      <c r="E108" t="s">
        <v>408</v>
      </c>
      <c r="F108" s="2">
        <f t="shared" si="5"/>
        <v>3515</v>
      </c>
      <c r="G108" s="1">
        <f t="shared" si="6"/>
        <v>299000</v>
      </c>
      <c r="H108" s="2">
        <f t="shared" si="7"/>
        <v>57</v>
      </c>
      <c r="I108" s="2">
        <f t="shared" si="8"/>
        <v>0</v>
      </c>
      <c r="J108">
        <f t="shared" si="9"/>
        <v>0</v>
      </c>
    </row>
    <row r="109" spans="1:10" x14ac:dyDescent="0.2">
      <c r="A109" t="s">
        <v>1276</v>
      </c>
      <c r="B109" t="s">
        <v>6</v>
      </c>
      <c r="C109" t="s">
        <v>1277</v>
      </c>
      <c r="D109" t="s">
        <v>99</v>
      </c>
      <c r="E109" t="s">
        <v>1278</v>
      </c>
      <c r="F109" s="2">
        <f t="shared" si="5"/>
        <v>3572</v>
      </c>
      <c r="G109" s="1">
        <f t="shared" si="6"/>
        <v>300000</v>
      </c>
      <c r="H109" s="2">
        <f t="shared" si="7"/>
        <v>57</v>
      </c>
      <c r="I109" s="2">
        <f t="shared" si="8"/>
        <v>7</v>
      </c>
      <c r="J109">
        <f t="shared" si="9"/>
        <v>48</v>
      </c>
    </row>
    <row r="110" spans="1:10" x14ac:dyDescent="0.2">
      <c r="A110" t="s">
        <v>626</v>
      </c>
      <c r="B110" t="s">
        <v>355</v>
      </c>
      <c r="C110" t="s">
        <v>627</v>
      </c>
      <c r="D110" t="s">
        <v>444</v>
      </c>
      <c r="E110" t="s">
        <v>628</v>
      </c>
      <c r="F110" s="2">
        <f t="shared" si="5"/>
        <v>3553</v>
      </c>
      <c r="G110" s="1">
        <f t="shared" si="6"/>
        <v>200000</v>
      </c>
      <c r="H110" s="2">
        <f t="shared" si="7"/>
        <v>58</v>
      </c>
      <c r="I110" s="2">
        <f t="shared" si="8"/>
        <v>0</v>
      </c>
      <c r="J110">
        <f t="shared" si="9"/>
        <v>0</v>
      </c>
    </row>
    <row r="111" spans="1:10" x14ac:dyDescent="0.2">
      <c r="A111" t="s">
        <v>890</v>
      </c>
      <c r="B111" t="s">
        <v>162</v>
      </c>
      <c r="C111" t="s">
        <v>891</v>
      </c>
      <c r="D111" t="s">
        <v>318</v>
      </c>
      <c r="E111" t="s">
        <v>628</v>
      </c>
      <c r="F111" s="2">
        <f t="shared" si="5"/>
        <v>3531</v>
      </c>
      <c r="G111" s="1">
        <f t="shared" si="6"/>
        <v>185000</v>
      </c>
      <c r="H111" s="2">
        <f t="shared" si="7"/>
        <v>58</v>
      </c>
      <c r="I111" s="2">
        <f t="shared" si="8"/>
        <v>0</v>
      </c>
      <c r="J111">
        <f t="shared" si="9"/>
        <v>0</v>
      </c>
    </row>
    <row r="112" spans="1:10" x14ac:dyDescent="0.2">
      <c r="A112" t="s">
        <v>972</v>
      </c>
      <c r="B112" t="s">
        <v>74</v>
      </c>
      <c r="C112" t="s">
        <v>973</v>
      </c>
      <c r="D112" t="s">
        <v>974</v>
      </c>
      <c r="E112" t="s">
        <v>628</v>
      </c>
      <c r="F112" s="2">
        <f t="shared" si="5"/>
        <v>3511</v>
      </c>
      <c r="G112" s="1">
        <f t="shared" si="6"/>
        <v>310000</v>
      </c>
      <c r="H112" s="2">
        <f t="shared" si="7"/>
        <v>58</v>
      </c>
      <c r="I112" s="2">
        <f t="shared" si="8"/>
        <v>0</v>
      </c>
      <c r="J112">
        <f t="shared" si="9"/>
        <v>0</v>
      </c>
    </row>
    <row r="113" spans="1:10" x14ac:dyDescent="0.2">
      <c r="A113" t="s">
        <v>1349</v>
      </c>
      <c r="B113" t="s">
        <v>259</v>
      </c>
      <c r="C113" t="s">
        <v>1350</v>
      </c>
      <c r="D113" t="s">
        <v>1179</v>
      </c>
      <c r="E113" t="s">
        <v>1351</v>
      </c>
      <c r="F113" s="2">
        <f t="shared" si="5"/>
        <v>3551</v>
      </c>
      <c r="G113" s="1">
        <f t="shared" si="6"/>
        <v>239000</v>
      </c>
      <c r="H113" s="2">
        <f t="shared" si="7"/>
        <v>58</v>
      </c>
      <c r="I113" s="2">
        <f t="shared" si="8"/>
        <v>0</v>
      </c>
      <c r="J113">
        <f t="shared" si="9"/>
        <v>0</v>
      </c>
    </row>
    <row r="114" spans="1:10" x14ac:dyDescent="0.2">
      <c r="A114" t="s">
        <v>1635</v>
      </c>
      <c r="B114" t="s">
        <v>26</v>
      </c>
      <c r="C114" t="s">
        <v>1636</v>
      </c>
      <c r="D114" t="s">
        <v>52</v>
      </c>
      <c r="E114" t="s">
        <v>1637</v>
      </c>
      <c r="F114" s="2">
        <f t="shared" si="5"/>
        <v>3572</v>
      </c>
      <c r="G114" s="1">
        <f t="shared" si="6"/>
        <v>325000</v>
      </c>
      <c r="H114" s="2">
        <f t="shared" si="7"/>
        <v>58</v>
      </c>
      <c r="I114" s="2">
        <f t="shared" si="8"/>
        <v>7</v>
      </c>
      <c r="J114">
        <f t="shared" si="9"/>
        <v>58</v>
      </c>
    </row>
    <row r="115" spans="1:10" x14ac:dyDescent="0.2">
      <c r="A115" t="s">
        <v>2389</v>
      </c>
      <c r="B115" t="s">
        <v>342</v>
      </c>
      <c r="C115" t="s">
        <v>2390</v>
      </c>
      <c r="D115" t="s">
        <v>327</v>
      </c>
      <c r="E115" t="s">
        <v>2391</v>
      </c>
      <c r="F115" s="2">
        <f t="shared" si="5"/>
        <v>3581</v>
      </c>
      <c r="G115" s="1">
        <f t="shared" si="6"/>
        <v>245000</v>
      </c>
      <c r="H115" s="2">
        <f t="shared" si="7"/>
        <v>59</v>
      </c>
      <c r="I115" s="2">
        <f t="shared" si="8"/>
        <v>0</v>
      </c>
      <c r="J115">
        <f t="shared" si="9"/>
        <v>0</v>
      </c>
    </row>
    <row r="116" spans="1:10" x14ac:dyDescent="0.2">
      <c r="A116" t="s">
        <v>2497</v>
      </c>
      <c r="B116" t="s">
        <v>148</v>
      </c>
      <c r="C116" t="s">
        <v>2498</v>
      </c>
      <c r="D116" t="s">
        <v>379</v>
      </c>
      <c r="E116" t="s">
        <v>2499</v>
      </c>
      <c r="F116" s="2">
        <f t="shared" si="5"/>
        <v>3582</v>
      </c>
      <c r="G116" s="1">
        <f t="shared" si="6"/>
        <v>275000</v>
      </c>
      <c r="H116" s="2">
        <f t="shared" si="7"/>
        <v>59</v>
      </c>
      <c r="I116" s="2">
        <f t="shared" si="8"/>
        <v>7</v>
      </c>
      <c r="J116">
        <f t="shared" si="9"/>
        <v>75</v>
      </c>
    </row>
    <row r="117" spans="1:10" x14ac:dyDescent="0.2">
      <c r="A117" t="s">
        <v>2637</v>
      </c>
      <c r="B117" t="s">
        <v>130</v>
      </c>
      <c r="C117" t="s">
        <v>2638</v>
      </c>
      <c r="D117" t="s">
        <v>2639</v>
      </c>
      <c r="E117" t="s">
        <v>2640</v>
      </c>
      <c r="F117" s="2">
        <f t="shared" si="5"/>
        <v>3541</v>
      </c>
      <c r="G117" s="1">
        <f t="shared" si="6"/>
        <v>273900</v>
      </c>
      <c r="H117" s="2">
        <f t="shared" si="7"/>
        <v>59</v>
      </c>
      <c r="I117" s="2">
        <f t="shared" si="8"/>
        <v>0</v>
      </c>
      <c r="J117">
        <f t="shared" si="9"/>
        <v>0</v>
      </c>
    </row>
    <row r="118" spans="1:10" x14ac:dyDescent="0.2">
      <c r="A118" t="s">
        <v>2667</v>
      </c>
      <c r="B118" t="s">
        <v>200</v>
      </c>
      <c r="C118" t="s">
        <v>2668</v>
      </c>
      <c r="D118" t="s">
        <v>8</v>
      </c>
      <c r="E118" t="s">
        <v>2640</v>
      </c>
      <c r="F118" s="2">
        <f t="shared" si="5"/>
        <v>3512</v>
      </c>
      <c r="G118" s="1">
        <f t="shared" si="6"/>
        <v>399000</v>
      </c>
      <c r="H118" s="2">
        <f t="shared" si="7"/>
        <v>59</v>
      </c>
      <c r="I118" s="2">
        <f t="shared" si="8"/>
        <v>0</v>
      </c>
      <c r="J118">
        <f t="shared" si="9"/>
        <v>0</v>
      </c>
    </row>
    <row r="119" spans="1:10" x14ac:dyDescent="0.2">
      <c r="A119" t="s">
        <v>464</v>
      </c>
      <c r="B119" t="s">
        <v>229</v>
      </c>
      <c r="C119" t="s">
        <v>465</v>
      </c>
      <c r="D119" t="s">
        <v>57</v>
      </c>
      <c r="E119" t="s">
        <v>466</v>
      </c>
      <c r="F119" s="2">
        <f t="shared" si="5"/>
        <v>3572</v>
      </c>
      <c r="G119" s="1">
        <f t="shared" si="6"/>
        <v>225000</v>
      </c>
      <c r="H119" s="2">
        <f t="shared" si="7"/>
        <v>60</v>
      </c>
      <c r="I119" s="2">
        <f t="shared" si="8"/>
        <v>0</v>
      </c>
      <c r="J119">
        <f t="shared" si="9"/>
        <v>0</v>
      </c>
    </row>
    <row r="120" spans="1:10" x14ac:dyDescent="0.2">
      <c r="A120" t="s">
        <v>606</v>
      </c>
      <c r="B120" t="s">
        <v>204</v>
      </c>
      <c r="C120" t="s">
        <v>607</v>
      </c>
      <c r="D120" t="s">
        <v>52</v>
      </c>
      <c r="E120" t="s">
        <v>608</v>
      </c>
      <c r="F120" s="2">
        <f t="shared" si="5"/>
        <v>3512</v>
      </c>
      <c r="G120" s="1">
        <f t="shared" si="6"/>
        <v>325000</v>
      </c>
      <c r="H120" s="2">
        <f t="shared" si="7"/>
        <v>60</v>
      </c>
      <c r="I120" s="2">
        <f t="shared" si="8"/>
        <v>0</v>
      </c>
      <c r="J120">
        <f t="shared" si="9"/>
        <v>0</v>
      </c>
    </row>
    <row r="121" spans="1:10" x14ac:dyDescent="0.2">
      <c r="A121" t="s">
        <v>1160</v>
      </c>
      <c r="B121" t="s">
        <v>35</v>
      </c>
      <c r="C121" t="s">
        <v>1161</v>
      </c>
      <c r="D121" t="s">
        <v>1162</v>
      </c>
      <c r="E121" t="s">
        <v>1163</v>
      </c>
      <c r="F121" s="2">
        <f t="shared" si="5"/>
        <v>3554</v>
      </c>
      <c r="G121" s="1">
        <f t="shared" si="6"/>
        <v>226500</v>
      </c>
      <c r="H121" s="2">
        <f t="shared" si="7"/>
        <v>60</v>
      </c>
      <c r="I121" s="2">
        <f t="shared" si="8"/>
        <v>0</v>
      </c>
      <c r="J121">
        <f t="shared" si="9"/>
        <v>0</v>
      </c>
    </row>
    <row r="122" spans="1:10" x14ac:dyDescent="0.2">
      <c r="A122" t="s">
        <v>1316</v>
      </c>
      <c r="B122" t="s">
        <v>148</v>
      </c>
      <c r="C122" t="s">
        <v>1317</v>
      </c>
      <c r="D122" t="s">
        <v>1318</v>
      </c>
      <c r="E122" t="s">
        <v>608</v>
      </c>
      <c r="F122" s="2">
        <f t="shared" si="5"/>
        <v>3531</v>
      </c>
      <c r="G122" s="1">
        <f t="shared" si="6"/>
        <v>229000</v>
      </c>
      <c r="H122" s="2">
        <f t="shared" si="7"/>
        <v>60</v>
      </c>
      <c r="I122" s="2">
        <f t="shared" si="8"/>
        <v>0</v>
      </c>
      <c r="J122">
        <f t="shared" si="9"/>
        <v>0</v>
      </c>
    </row>
    <row r="123" spans="1:10" x14ac:dyDescent="0.2">
      <c r="A123" t="s">
        <v>1907</v>
      </c>
      <c r="B123" t="s">
        <v>560</v>
      </c>
      <c r="C123" t="s">
        <v>1908</v>
      </c>
      <c r="D123" t="s">
        <v>1909</v>
      </c>
      <c r="E123" t="s">
        <v>1910</v>
      </c>
      <c r="F123" s="2">
        <f t="shared" si="5"/>
        <v>3523</v>
      </c>
      <c r="G123" s="1">
        <f t="shared" si="6"/>
        <v>219000</v>
      </c>
      <c r="H123" s="2">
        <f t="shared" si="7"/>
        <v>60</v>
      </c>
      <c r="I123" s="2">
        <f t="shared" si="8"/>
        <v>0</v>
      </c>
      <c r="J123">
        <f t="shared" si="9"/>
        <v>0</v>
      </c>
    </row>
    <row r="124" spans="1:10" x14ac:dyDescent="0.2">
      <c r="A124" t="s">
        <v>2190</v>
      </c>
      <c r="B124" t="s">
        <v>69</v>
      </c>
      <c r="C124" t="s">
        <v>2191</v>
      </c>
      <c r="D124" t="s">
        <v>1553</v>
      </c>
      <c r="E124" t="s">
        <v>2192</v>
      </c>
      <c r="F124" s="2">
        <f t="shared" si="5"/>
        <v>3555</v>
      </c>
      <c r="G124" s="1">
        <f t="shared" si="6"/>
        <v>229500</v>
      </c>
      <c r="H124" s="2">
        <f t="shared" si="7"/>
        <v>60</v>
      </c>
      <c r="I124" s="2">
        <f t="shared" si="8"/>
        <v>7</v>
      </c>
      <c r="J124">
        <f t="shared" si="9"/>
        <v>95</v>
      </c>
    </row>
    <row r="125" spans="1:10" x14ac:dyDescent="0.2">
      <c r="A125" t="s">
        <v>2243</v>
      </c>
      <c r="B125" t="s">
        <v>792</v>
      </c>
      <c r="C125" t="s">
        <v>2244</v>
      </c>
      <c r="D125" t="s">
        <v>2245</v>
      </c>
      <c r="E125" t="s">
        <v>1163</v>
      </c>
      <c r="F125" s="2">
        <f t="shared" si="5"/>
        <v>3555</v>
      </c>
      <c r="G125" s="1">
        <f t="shared" si="6"/>
        <v>217500</v>
      </c>
      <c r="H125" s="2">
        <f t="shared" si="7"/>
        <v>60</v>
      </c>
      <c r="I125" s="2">
        <f t="shared" si="8"/>
        <v>0</v>
      </c>
      <c r="J125">
        <f t="shared" si="9"/>
        <v>0</v>
      </c>
    </row>
    <row r="126" spans="1:10" x14ac:dyDescent="0.2">
      <c r="A126" t="s">
        <v>2398</v>
      </c>
      <c r="B126" t="s">
        <v>35</v>
      </c>
      <c r="C126" t="s">
        <v>2399</v>
      </c>
      <c r="D126" t="s">
        <v>2400</v>
      </c>
      <c r="E126" t="s">
        <v>608</v>
      </c>
      <c r="F126" s="2">
        <f t="shared" si="5"/>
        <v>3572</v>
      </c>
      <c r="G126" s="1">
        <f t="shared" si="6"/>
        <v>249490</v>
      </c>
      <c r="H126" s="2">
        <f t="shared" si="7"/>
        <v>60</v>
      </c>
      <c r="I126" s="2">
        <f t="shared" si="8"/>
        <v>0</v>
      </c>
      <c r="J126">
        <f t="shared" si="9"/>
        <v>0</v>
      </c>
    </row>
    <row r="127" spans="1:10" x14ac:dyDescent="0.2">
      <c r="A127" t="s">
        <v>2626</v>
      </c>
      <c r="B127" t="s">
        <v>74</v>
      </c>
      <c r="C127" t="s">
        <v>2627</v>
      </c>
      <c r="D127" t="s">
        <v>2628</v>
      </c>
      <c r="E127" t="s">
        <v>608</v>
      </c>
      <c r="F127" s="2">
        <f t="shared" si="5"/>
        <v>3531</v>
      </c>
      <c r="G127" s="1">
        <f t="shared" si="6"/>
        <v>239500</v>
      </c>
      <c r="H127" s="2">
        <f t="shared" si="7"/>
        <v>60</v>
      </c>
      <c r="I127" s="2">
        <f t="shared" si="8"/>
        <v>0</v>
      </c>
      <c r="J127">
        <f t="shared" si="9"/>
        <v>0</v>
      </c>
    </row>
    <row r="128" spans="1:10" x14ac:dyDescent="0.2">
      <c r="A128" t="s">
        <v>2669</v>
      </c>
      <c r="B128" t="s">
        <v>187</v>
      </c>
      <c r="C128" t="s">
        <v>2670</v>
      </c>
      <c r="D128" t="s">
        <v>2628</v>
      </c>
      <c r="E128" t="s">
        <v>1910</v>
      </c>
      <c r="F128" s="2">
        <f t="shared" si="5"/>
        <v>3531</v>
      </c>
      <c r="G128" s="1">
        <f t="shared" si="6"/>
        <v>239500</v>
      </c>
      <c r="H128" s="2">
        <f t="shared" si="7"/>
        <v>60</v>
      </c>
      <c r="I128" s="2">
        <f t="shared" si="8"/>
        <v>0</v>
      </c>
      <c r="J128">
        <f t="shared" si="9"/>
        <v>0</v>
      </c>
    </row>
    <row r="129" spans="1:10" x14ac:dyDescent="0.2">
      <c r="A129" t="s">
        <v>1260</v>
      </c>
      <c r="B129" t="s">
        <v>355</v>
      </c>
      <c r="C129" t="s">
        <v>1261</v>
      </c>
      <c r="D129" t="s">
        <v>339</v>
      </c>
      <c r="E129" t="s">
        <v>1262</v>
      </c>
      <c r="F129" s="2">
        <f t="shared" si="5"/>
        <v>3561</v>
      </c>
      <c r="G129" s="1">
        <f t="shared" si="6"/>
        <v>175000</v>
      </c>
      <c r="H129" s="2">
        <f t="shared" si="7"/>
        <v>61</v>
      </c>
      <c r="I129" s="2">
        <f t="shared" si="8"/>
        <v>0</v>
      </c>
      <c r="J129">
        <f t="shared" si="9"/>
        <v>0</v>
      </c>
    </row>
    <row r="130" spans="1:10" x14ac:dyDescent="0.2">
      <c r="A130" t="s">
        <v>762</v>
      </c>
      <c r="B130" t="s">
        <v>187</v>
      </c>
      <c r="C130" t="s">
        <v>763</v>
      </c>
      <c r="D130" t="s">
        <v>395</v>
      </c>
      <c r="E130" t="s">
        <v>764</v>
      </c>
      <c r="F130" s="2">
        <f t="shared" ref="F130:F193" si="10">VALUE(LEFT(RIGHT(C130,15),4))</f>
        <v>3514</v>
      </c>
      <c r="G130" s="1">
        <f t="shared" ref="G130:G193" si="11">VALUE(MID(D130,3,FIND(" ",D130,3)-3))</f>
        <v>295000</v>
      </c>
      <c r="H130" s="2">
        <f t="shared" ref="H130:H193" si="12">VALUE(LEFT(E130,FIND(" ",E130,1)-1))</f>
        <v>62</v>
      </c>
      <c r="I130" s="2">
        <f t="shared" ref="I130:I193" si="13">IFERROR(FIND("/",E130,1),0)</f>
        <v>0</v>
      </c>
      <c r="J130">
        <f t="shared" ref="J130:J193" si="14">IF(I130=0,0,VALUE(MID(E130,FIND("/",E130,1)+2,(FIND(" ",E130,FIND("/",E130,1)+2)-(FIND("/",E130,1))-1))))</f>
        <v>0</v>
      </c>
    </row>
    <row r="131" spans="1:10" x14ac:dyDescent="0.2">
      <c r="A131" t="s">
        <v>1003</v>
      </c>
      <c r="B131" t="s">
        <v>204</v>
      </c>
      <c r="C131" t="s">
        <v>1004</v>
      </c>
      <c r="D131" t="s">
        <v>327</v>
      </c>
      <c r="E131" t="s">
        <v>764</v>
      </c>
      <c r="F131" s="2">
        <f t="shared" si="10"/>
        <v>3583</v>
      </c>
      <c r="G131" s="1">
        <f t="shared" si="11"/>
        <v>245000</v>
      </c>
      <c r="H131" s="2">
        <f t="shared" si="12"/>
        <v>62</v>
      </c>
      <c r="I131" s="2">
        <f t="shared" si="13"/>
        <v>0</v>
      </c>
      <c r="J131">
        <f t="shared" si="14"/>
        <v>0</v>
      </c>
    </row>
    <row r="132" spans="1:10" x14ac:dyDescent="0.2">
      <c r="A132" t="s">
        <v>596</v>
      </c>
      <c r="B132" t="s">
        <v>166</v>
      </c>
      <c r="C132" t="s">
        <v>597</v>
      </c>
      <c r="D132" t="s">
        <v>430</v>
      </c>
      <c r="E132" t="s">
        <v>598</v>
      </c>
      <c r="F132" s="2">
        <f t="shared" si="10"/>
        <v>3584</v>
      </c>
      <c r="G132" s="1">
        <f t="shared" si="11"/>
        <v>250000</v>
      </c>
      <c r="H132" s="2">
        <f t="shared" si="12"/>
        <v>63</v>
      </c>
      <c r="I132" s="2">
        <f t="shared" si="13"/>
        <v>0</v>
      </c>
      <c r="J132">
        <f t="shared" si="14"/>
        <v>0</v>
      </c>
    </row>
    <row r="133" spans="1:10" x14ac:dyDescent="0.2">
      <c r="A133" t="s">
        <v>743</v>
      </c>
      <c r="B133" t="s">
        <v>45</v>
      </c>
      <c r="C133" t="s">
        <v>744</v>
      </c>
      <c r="D133" t="s">
        <v>379</v>
      </c>
      <c r="E133" t="s">
        <v>598</v>
      </c>
      <c r="F133" s="2">
        <f t="shared" si="10"/>
        <v>3522</v>
      </c>
      <c r="G133" s="1">
        <f t="shared" si="11"/>
        <v>275000</v>
      </c>
      <c r="H133" s="2">
        <f t="shared" si="12"/>
        <v>63</v>
      </c>
      <c r="I133" s="2">
        <f t="shared" si="13"/>
        <v>0</v>
      </c>
      <c r="J133">
        <f t="shared" si="14"/>
        <v>0</v>
      </c>
    </row>
    <row r="134" spans="1:10" x14ac:dyDescent="0.2">
      <c r="A134" t="s">
        <v>1302</v>
      </c>
      <c r="B134" t="s">
        <v>84</v>
      </c>
      <c r="C134" t="s">
        <v>1303</v>
      </c>
      <c r="D134" t="s">
        <v>99</v>
      </c>
      <c r="E134" t="s">
        <v>598</v>
      </c>
      <c r="F134" s="2">
        <f t="shared" si="10"/>
        <v>3572</v>
      </c>
      <c r="G134" s="1">
        <f t="shared" si="11"/>
        <v>300000</v>
      </c>
      <c r="H134" s="2">
        <f t="shared" si="12"/>
        <v>63</v>
      </c>
      <c r="I134" s="2">
        <f t="shared" si="13"/>
        <v>0</v>
      </c>
      <c r="J134">
        <f t="shared" si="14"/>
        <v>0</v>
      </c>
    </row>
    <row r="135" spans="1:10" x14ac:dyDescent="0.2">
      <c r="A135" t="s">
        <v>1450</v>
      </c>
      <c r="B135" t="s">
        <v>240</v>
      </c>
      <c r="C135" t="s">
        <v>1451</v>
      </c>
      <c r="D135" t="s">
        <v>99</v>
      </c>
      <c r="E135" t="s">
        <v>1452</v>
      </c>
      <c r="F135" s="2">
        <f t="shared" si="10"/>
        <v>3572</v>
      </c>
      <c r="G135" s="1">
        <f t="shared" si="11"/>
        <v>300000</v>
      </c>
      <c r="H135" s="2">
        <f t="shared" si="12"/>
        <v>63</v>
      </c>
      <c r="I135" s="2">
        <f t="shared" si="13"/>
        <v>7</v>
      </c>
      <c r="J135">
        <f t="shared" si="14"/>
        <v>44</v>
      </c>
    </row>
    <row r="136" spans="1:10" x14ac:dyDescent="0.2">
      <c r="A136" t="s">
        <v>1874</v>
      </c>
      <c r="B136" t="s">
        <v>306</v>
      </c>
      <c r="C136" t="s">
        <v>1875</v>
      </c>
      <c r="D136" t="s">
        <v>1876</v>
      </c>
      <c r="E136" t="s">
        <v>1877</v>
      </c>
      <c r="F136" s="2">
        <f t="shared" si="10"/>
        <v>3564</v>
      </c>
      <c r="G136" s="1">
        <f t="shared" si="11"/>
        <v>182500</v>
      </c>
      <c r="H136" s="2">
        <f t="shared" si="12"/>
        <v>63</v>
      </c>
      <c r="I136" s="2">
        <f t="shared" si="13"/>
        <v>0</v>
      </c>
      <c r="J136">
        <f t="shared" si="14"/>
        <v>0</v>
      </c>
    </row>
    <row r="137" spans="1:10" x14ac:dyDescent="0.2">
      <c r="A137" t="s">
        <v>1883</v>
      </c>
      <c r="B137" t="s">
        <v>245</v>
      </c>
      <c r="C137" t="s">
        <v>1884</v>
      </c>
      <c r="D137" t="s">
        <v>379</v>
      </c>
      <c r="E137" t="s">
        <v>1885</v>
      </c>
      <c r="F137" s="2">
        <f t="shared" si="10"/>
        <v>3551</v>
      </c>
      <c r="G137" s="1">
        <f t="shared" si="11"/>
        <v>275000</v>
      </c>
      <c r="H137" s="2">
        <f t="shared" si="12"/>
        <v>63</v>
      </c>
      <c r="I137" s="2">
        <f t="shared" si="13"/>
        <v>7</v>
      </c>
      <c r="J137">
        <f t="shared" si="14"/>
        <v>68</v>
      </c>
    </row>
    <row r="138" spans="1:10" x14ac:dyDescent="0.2">
      <c r="A138" t="s">
        <v>2105</v>
      </c>
      <c r="B138" t="s">
        <v>513</v>
      </c>
      <c r="C138" t="s">
        <v>2106</v>
      </c>
      <c r="D138" t="s">
        <v>482</v>
      </c>
      <c r="E138" t="s">
        <v>598</v>
      </c>
      <c r="F138" s="2">
        <f t="shared" si="10"/>
        <v>3552</v>
      </c>
      <c r="G138" s="1">
        <f t="shared" si="11"/>
        <v>230000</v>
      </c>
      <c r="H138" s="2">
        <f t="shared" si="12"/>
        <v>63</v>
      </c>
      <c r="I138" s="2">
        <f t="shared" si="13"/>
        <v>0</v>
      </c>
      <c r="J138">
        <f t="shared" si="14"/>
        <v>0</v>
      </c>
    </row>
    <row r="139" spans="1:10" x14ac:dyDescent="0.2">
      <c r="A139" t="s">
        <v>2116</v>
      </c>
      <c r="B139" t="s">
        <v>152</v>
      </c>
      <c r="C139" t="s">
        <v>2117</v>
      </c>
      <c r="D139" t="s">
        <v>57</v>
      </c>
      <c r="E139" t="s">
        <v>2118</v>
      </c>
      <c r="F139" s="2">
        <f t="shared" si="10"/>
        <v>3531</v>
      </c>
      <c r="G139" s="1">
        <f t="shared" si="11"/>
        <v>225000</v>
      </c>
      <c r="H139" s="2">
        <f t="shared" si="12"/>
        <v>63</v>
      </c>
      <c r="I139" s="2">
        <f t="shared" si="13"/>
        <v>0</v>
      </c>
      <c r="J139">
        <f t="shared" si="14"/>
        <v>0</v>
      </c>
    </row>
    <row r="140" spans="1:10" x14ac:dyDescent="0.2">
      <c r="A140" t="s">
        <v>2214</v>
      </c>
      <c r="B140" t="s">
        <v>245</v>
      </c>
      <c r="C140" t="s">
        <v>2215</v>
      </c>
      <c r="D140" t="s">
        <v>1547</v>
      </c>
      <c r="E140" t="s">
        <v>2216</v>
      </c>
      <c r="F140" s="2">
        <f t="shared" si="10"/>
        <v>3515</v>
      </c>
      <c r="G140" s="1">
        <f t="shared" si="11"/>
        <v>290000</v>
      </c>
      <c r="H140" s="2">
        <f t="shared" si="12"/>
        <v>63</v>
      </c>
      <c r="I140" s="2">
        <f t="shared" si="13"/>
        <v>7</v>
      </c>
      <c r="J140">
        <f t="shared" si="14"/>
        <v>42</v>
      </c>
    </row>
    <row r="141" spans="1:10" x14ac:dyDescent="0.2">
      <c r="A141" t="s">
        <v>272</v>
      </c>
      <c r="B141" t="s">
        <v>229</v>
      </c>
      <c r="C141" t="s">
        <v>273</v>
      </c>
      <c r="D141" t="s">
        <v>274</v>
      </c>
      <c r="E141" t="s">
        <v>275</v>
      </c>
      <c r="F141" s="2">
        <f t="shared" si="10"/>
        <v>3523</v>
      </c>
      <c r="G141" s="1">
        <f t="shared" si="11"/>
        <v>209000</v>
      </c>
      <c r="H141" s="2">
        <f t="shared" si="12"/>
        <v>64</v>
      </c>
      <c r="I141" s="2">
        <f t="shared" si="13"/>
        <v>0</v>
      </c>
      <c r="J141">
        <f t="shared" si="14"/>
        <v>0</v>
      </c>
    </row>
    <row r="142" spans="1:10" x14ac:dyDescent="0.2">
      <c r="A142" t="s">
        <v>376</v>
      </c>
      <c r="B142" t="s">
        <v>377</v>
      </c>
      <c r="C142" t="s">
        <v>378</v>
      </c>
      <c r="D142" t="s">
        <v>379</v>
      </c>
      <c r="E142" t="s">
        <v>275</v>
      </c>
      <c r="F142" s="2">
        <f t="shared" si="10"/>
        <v>3581</v>
      </c>
      <c r="G142" s="1">
        <f t="shared" si="11"/>
        <v>275000</v>
      </c>
      <c r="H142" s="2">
        <f t="shared" si="12"/>
        <v>64</v>
      </c>
      <c r="I142" s="2">
        <f t="shared" si="13"/>
        <v>0</v>
      </c>
      <c r="J142">
        <f t="shared" si="14"/>
        <v>0</v>
      </c>
    </row>
    <row r="143" spans="1:10" x14ac:dyDescent="0.2">
      <c r="A143" t="s">
        <v>674</v>
      </c>
      <c r="B143" t="s">
        <v>502</v>
      </c>
      <c r="C143" t="s">
        <v>675</v>
      </c>
      <c r="D143" t="s">
        <v>379</v>
      </c>
      <c r="E143" t="s">
        <v>676</v>
      </c>
      <c r="F143" s="2">
        <f t="shared" si="10"/>
        <v>3553</v>
      </c>
      <c r="G143" s="1">
        <f t="shared" si="11"/>
        <v>275000</v>
      </c>
      <c r="H143" s="2">
        <f t="shared" si="12"/>
        <v>64</v>
      </c>
      <c r="I143" s="2">
        <f t="shared" si="13"/>
        <v>7</v>
      </c>
      <c r="J143">
        <f t="shared" si="14"/>
        <v>78</v>
      </c>
    </row>
    <row r="144" spans="1:10" x14ac:dyDescent="0.2">
      <c r="A144" t="s">
        <v>965</v>
      </c>
      <c r="B144" t="s">
        <v>316</v>
      </c>
      <c r="C144" t="s">
        <v>966</v>
      </c>
      <c r="D144" t="s">
        <v>967</v>
      </c>
      <c r="E144" t="s">
        <v>275</v>
      </c>
      <c r="F144" s="2">
        <f t="shared" si="10"/>
        <v>3572</v>
      </c>
      <c r="G144" s="1">
        <f t="shared" si="11"/>
        <v>268000</v>
      </c>
      <c r="H144" s="2">
        <f t="shared" si="12"/>
        <v>64</v>
      </c>
      <c r="I144" s="2">
        <f t="shared" si="13"/>
        <v>0</v>
      </c>
      <c r="J144">
        <f t="shared" si="14"/>
        <v>0</v>
      </c>
    </row>
    <row r="145" spans="1:10" x14ac:dyDescent="0.2">
      <c r="A145" t="s">
        <v>1462</v>
      </c>
      <c r="B145" t="s">
        <v>355</v>
      </c>
      <c r="C145" t="s">
        <v>1463</v>
      </c>
      <c r="D145" t="s">
        <v>339</v>
      </c>
      <c r="E145" t="s">
        <v>275</v>
      </c>
      <c r="F145" s="2">
        <f t="shared" si="10"/>
        <v>3555</v>
      </c>
      <c r="G145" s="1">
        <f t="shared" si="11"/>
        <v>175000</v>
      </c>
      <c r="H145" s="2">
        <f t="shared" si="12"/>
        <v>64</v>
      </c>
      <c r="I145" s="2">
        <f t="shared" si="13"/>
        <v>0</v>
      </c>
      <c r="J145">
        <f t="shared" si="14"/>
        <v>0</v>
      </c>
    </row>
    <row r="146" spans="1:10" x14ac:dyDescent="0.2">
      <c r="A146" t="s">
        <v>1776</v>
      </c>
      <c r="B146" t="s">
        <v>130</v>
      </c>
      <c r="C146" t="s">
        <v>1777</v>
      </c>
      <c r="D146" t="s">
        <v>679</v>
      </c>
      <c r="E146" t="s">
        <v>1778</v>
      </c>
      <c r="F146" s="2">
        <f t="shared" si="10"/>
        <v>3512</v>
      </c>
      <c r="G146" s="1">
        <f t="shared" si="11"/>
        <v>335000</v>
      </c>
      <c r="H146" s="2">
        <f t="shared" si="12"/>
        <v>64</v>
      </c>
      <c r="I146" s="2">
        <f t="shared" si="13"/>
        <v>7</v>
      </c>
      <c r="J146">
        <f t="shared" si="14"/>
        <v>95</v>
      </c>
    </row>
    <row r="147" spans="1:10" x14ac:dyDescent="0.2">
      <c r="A147" t="s">
        <v>1965</v>
      </c>
      <c r="B147" t="s">
        <v>451</v>
      </c>
      <c r="C147" t="s">
        <v>1966</v>
      </c>
      <c r="D147" t="s">
        <v>753</v>
      </c>
      <c r="E147" t="s">
        <v>275</v>
      </c>
      <c r="F147" s="2">
        <f t="shared" si="10"/>
        <v>3555</v>
      </c>
      <c r="G147" s="1">
        <f t="shared" si="11"/>
        <v>189000</v>
      </c>
      <c r="H147" s="2">
        <f t="shared" si="12"/>
        <v>64</v>
      </c>
      <c r="I147" s="2">
        <f t="shared" si="13"/>
        <v>0</v>
      </c>
      <c r="J147">
        <f t="shared" si="14"/>
        <v>0</v>
      </c>
    </row>
    <row r="148" spans="1:10" x14ac:dyDescent="0.2">
      <c r="A148" t="s">
        <v>2257</v>
      </c>
      <c r="B148" t="s">
        <v>736</v>
      </c>
      <c r="C148" t="s">
        <v>2258</v>
      </c>
      <c r="D148" t="s">
        <v>491</v>
      </c>
      <c r="E148" t="s">
        <v>2259</v>
      </c>
      <c r="F148" s="2">
        <f t="shared" si="10"/>
        <v>3531</v>
      </c>
      <c r="G148" s="1">
        <f t="shared" si="11"/>
        <v>215000</v>
      </c>
      <c r="H148" s="2">
        <f t="shared" si="12"/>
        <v>64</v>
      </c>
      <c r="I148" s="2">
        <f t="shared" si="13"/>
        <v>0</v>
      </c>
      <c r="J148">
        <f t="shared" si="14"/>
        <v>0</v>
      </c>
    </row>
    <row r="149" spans="1:10" x14ac:dyDescent="0.2">
      <c r="A149" t="s">
        <v>2335</v>
      </c>
      <c r="B149" t="s">
        <v>157</v>
      </c>
      <c r="C149" t="s">
        <v>2336</v>
      </c>
      <c r="D149" t="s">
        <v>2337</v>
      </c>
      <c r="E149" t="s">
        <v>275</v>
      </c>
      <c r="F149" s="2">
        <f t="shared" si="10"/>
        <v>3555</v>
      </c>
      <c r="G149" s="1">
        <f t="shared" si="11"/>
        <v>222500</v>
      </c>
      <c r="H149" s="2">
        <f t="shared" si="12"/>
        <v>64</v>
      </c>
      <c r="I149" s="2">
        <f t="shared" si="13"/>
        <v>0</v>
      </c>
      <c r="J149">
        <f t="shared" si="14"/>
        <v>0</v>
      </c>
    </row>
    <row r="150" spans="1:10" x14ac:dyDescent="0.2">
      <c r="A150" t="s">
        <v>2470</v>
      </c>
      <c r="B150" t="s">
        <v>792</v>
      </c>
      <c r="C150" t="s">
        <v>2471</v>
      </c>
      <c r="D150" t="s">
        <v>99</v>
      </c>
      <c r="E150" t="s">
        <v>2259</v>
      </c>
      <c r="F150" s="2">
        <f t="shared" si="10"/>
        <v>3572</v>
      </c>
      <c r="G150" s="1">
        <f t="shared" si="11"/>
        <v>300000</v>
      </c>
      <c r="H150" s="2">
        <f t="shared" si="12"/>
        <v>64</v>
      </c>
      <c r="I150" s="2">
        <f t="shared" si="13"/>
        <v>0</v>
      </c>
      <c r="J150">
        <f t="shared" si="14"/>
        <v>0</v>
      </c>
    </row>
    <row r="151" spans="1:10" x14ac:dyDescent="0.2">
      <c r="A151" t="s">
        <v>2747</v>
      </c>
      <c r="B151" t="s">
        <v>485</v>
      </c>
      <c r="C151" t="s">
        <v>2748</v>
      </c>
      <c r="D151" t="s">
        <v>542</v>
      </c>
      <c r="E151" t="s">
        <v>2749</v>
      </c>
      <c r="F151" s="2">
        <f t="shared" si="10"/>
        <v>3531</v>
      </c>
      <c r="G151" s="1">
        <f t="shared" si="11"/>
        <v>285000</v>
      </c>
      <c r="H151" s="2">
        <f t="shared" si="12"/>
        <v>64</v>
      </c>
      <c r="I151" s="2">
        <f t="shared" si="13"/>
        <v>7</v>
      </c>
      <c r="J151">
        <f t="shared" si="14"/>
        <v>54</v>
      </c>
    </row>
    <row r="152" spans="1:10" x14ac:dyDescent="0.2">
      <c r="A152" t="s">
        <v>324</v>
      </c>
      <c r="B152" t="s">
        <v>325</v>
      </c>
      <c r="C152" t="s">
        <v>326</v>
      </c>
      <c r="D152" t="s">
        <v>327</v>
      </c>
      <c r="E152" t="s">
        <v>328</v>
      </c>
      <c r="F152" s="2">
        <f t="shared" si="10"/>
        <v>3552</v>
      </c>
      <c r="G152" s="1">
        <f t="shared" si="11"/>
        <v>245000</v>
      </c>
      <c r="H152" s="2">
        <f t="shared" si="12"/>
        <v>65</v>
      </c>
      <c r="I152" s="2">
        <f t="shared" si="13"/>
        <v>0</v>
      </c>
      <c r="J152">
        <f t="shared" si="14"/>
        <v>0</v>
      </c>
    </row>
    <row r="153" spans="1:10" x14ac:dyDescent="0.2">
      <c r="A153" t="s">
        <v>458</v>
      </c>
      <c r="B153" t="s">
        <v>451</v>
      </c>
      <c r="C153" t="s">
        <v>459</v>
      </c>
      <c r="D153" t="s">
        <v>460</v>
      </c>
      <c r="E153" t="s">
        <v>461</v>
      </c>
      <c r="F153" s="2">
        <f t="shared" si="10"/>
        <v>3522</v>
      </c>
      <c r="G153" s="1">
        <f t="shared" si="11"/>
        <v>265000</v>
      </c>
      <c r="H153" s="2">
        <f t="shared" si="12"/>
        <v>65</v>
      </c>
      <c r="I153" s="2">
        <f t="shared" si="13"/>
        <v>0</v>
      </c>
      <c r="J153">
        <f t="shared" si="14"/>
        <v>0</v>
      </c>
    </row>
    <row r="154" spans="1:10" x14ac:dyDescent="0.2">
      <c r="A154" t="s">
        <v>1040</v>
      </c>
      <c r="B154" t="s">
        <v>125</v>
      </c>
      <c r="C154" t="s">
        <v>1041</v>
      </c>
      <c r="D154" t="s">
        <v>927</v>
      </c>
      <c r="E154" t="s">
        <v>461</v>
      </c>
      <c r="F154" s="2">
        <f t="shared" si="10"/>
        <v>3521</v>
      </c>
      <c r="G154" s="1">
        <f t="shared" si="11"/>
        <v>249500</v>
      </c>
      <c r="H154" s="2">
        <f t="shared" si="12"/>
        <v>65</v>
      </c>
      <c r="I154" s="2">
        <f t="shared" si="13"/>
        <v>0</v>
      </c>
      <c r="J154">
        <f t="shared" si="14"/>
        <v>0</v>
      </c>
    </row>
    <row r="155" spans="1:10" x14ac:dyDescent="0.2">
      <c r="A155" t="s">
        <v>1180</v>
      </c>
      <c r="B155" t="s">
        <v>125</v>
      </c>
      <c r="C155" t="s">
        <v>1181</v>
      </c>
      <c r="D155" t="s">
        <v>379</v>
      </c>
      <c r="E155" t="s">
        <v>328</v>
      </c>
      <c r="F155" s="2">
        <f t="shared" si="10"/>
        <v>3514</v>
      </c>
      <c r="G155" s="1">
        <f t="shared" si="11"/>
        <v>275000</v>
      </c>
      <c r="H155" s="2">
        <f t="shared" si="12"/>
        <v>65</v>
      </c>
      <c r="I155" s="2">
        <f t="shared" si="13"/>
        <v>0</v>
      </c>
      <c r="J155">
        <f t="shared" si="14"/>
        <v>0</v>
      </c>
    </row>
    <row r="156" spans="1:10" x14ac:dyDescent="0.2">
      <c r="A156" t="s">
        <v>1414</v>
      </c>
      <c r="B156" t="s">
        <v>192</v>
      </c>
      <c r="C156" t="s">
        <v>1415</v>
      </c>
      <c r="D156" t="s">
        <v>1068</v>
      </c>
      <c r="E156" t="s">
        <v>1416</v>
      </c>
      <c r="F156" s="2">
        <f t="shared" si="10"/>
        <v>3555</v>
      </c>
      <c r="G156" s="1">
        <f t="shared" si="11"/>
        <v>242000</v>
      </c>
      <c r="H156" s="2">
        <f t="shared" si="12"/>
        <v>65</v>
      </c>
      <c r="I156" s="2">
        <f t="shared" si="13"/>
        <v>7</v>
      </c>
      <c r="J156">
        <f t="shared" si="14"/>
        <v>92</v>
      </c>
    </row>
    <row r="157" spans="1:10" x14ac:dyDescent="0.2">
      <c r="A157" t="s">
        <v>1456</v>
      </c>
      <c r="B157" t="s">
        <v>485</v>
      </c>
      <c r="C157" t="s">
        <v>1457</v>
      </c>
      <c r="D157" t="s">
        <v>430</v>
      </c>
      <c r="E157" t="s">
        <v>1458</v>
      </c>
      <c r="F157" s="2">
        <f t="shared" si="10"/>
        <v>3551</v>
      </c>
      <c r="G157" s="1">
        <f t="shared" si="11"/>
        <v>250000</v>
      </c>
      <c r="H157" s="2">
        <f t="shared" si="12"/>
        <v>65</v>
      </c>
      <c r="I157" s="2">
        <f t="shared" si="13"/>
        <v>7</v>
      </c>
      <c r="J157">
        <f t="shared" si="14"/>
        <v>61</v>
      </c>
    </row>
    <row r="158" spans="1:10" x14ac:dyDescent="0.2">
      <c r="A158" t="s">
        <v>1623</v>
      </c>
      <c r="B158" t="s">
        <v>513</v>
      </c>
      <c r="C158" t="s">
        <v>1624</v>
      </c>
      <c r="D158" t="s">
        <v>52</v>
      </c>
      <c r="E158" t="s">
        <v>1625</v>
      </c>
      <c r="F158" s="2">
        <f t="shared" si="10"/>
        <v>3522</v>
      </c>
      <c r="G158" s="1">
        <f t="shared" si="11"/>
        <v>325000</v>
      </c>
      <c r="H158" s="2">
        <f t="shared" si="12"/>
        <v>65</v>
      </c>
      <c r="I158" s="2">
        <f t="shared" si="13"/>
        <v>7</v>
      </c>
      <c r="J158">
        <f t="shared" si="14"/>
        <v>87</v>
      </c>
    </row>
    <row r="159" spans="1:10" x14ac:dyDescent="0.2">
      <c r="A159" t="s">
        <v>1889</v>
      </c>
      <c r="B159" t="s">
        <v>833</v>
      </c>
      <c r="C159" t="s">
        <v>1890</v>
      </c>
      <c r="D159" t="s">
        <v>379</v>
      </c>
      <c r="E159" t="s">
        <v>1891</v>
      </c>
      <c r="F159" s="2">
        <f t="shared" si="10"/>
        <v>3551</v>
      </c>
      <c r="G159" s="1">
        <f t="shared" si="11"/>
        <v>275000</v>
      </c>
      <c r="H159" s="2">
        <f t="shared" si="12"/>
        <v>65</v>
      </c>
      <c r="I159" s="2">
        <f t="shared" si="13"/>
        <v>7</v>
      </c>
      <c r="J159">
        <f t="shared" si="14"/>
        <v>72</v>
      </c>
    </row>
    <row r="160" spans="1:10" x14ac:dyDescent="0.2">
      <c r="A160" t="s">
        <v>1926</v>
      </c>
      <c r="B160" t="s">
        <v>575</v>
      </c>
      <c r="C160" t="s">
        <v>1927</v>
      </c>
      <c r="D160" t="s">
        <v>8</v>
      </c>
      <c r="E160" t="s">
        <v>1928</v>
      </c>
      <c r="F160" s="2">
        <f t="shared" si="10"/>
        <v>3543</v>
      </c>
      <c r="G160" s="1">
        <f t="shared" si="11"/>
        <v>399000</v>
      </c>
      <c r="H160" s="2">
        <f t="shared" si="12"/>
        <v>65</v>
      </c>
      <c r="I160" s="2">
        <f t="shared" si="13"/>
        <v>7</v>
      </c>
      <c r="J160">
        <f t="shared" si="14"/>
        <v>189</v>
      </c>
    </row>
    <row r="161" spans="1:10" x14ac:dyDescent="0.2">
      <c r="A161" t="s">
        <v>2500</v>
      </c>
      <c r="B161" t="s">
        <v>1014</v>
      </c>
      <c r="C161" t="s">
        <v>2501</v>
      </c>
      <c r="D161" t="s">
        <v>57</v>
      </c>
      <c r="E161" t="s">
        <v>461</v>
      </c>
      <c r="F161" s="2">
        <f t="shared" si="10"/>
        <v>3553</v>
      </c>
      <c r="G161" s="1">
        <f t="shared" si="11"/>
        <v>225000</v>
      </c>
      <c r="H161" s="2">
        <f t="shared" si="12"/>
        <v>65</v>
      </c>
      <c r="I161" s="2">
        <f t="shared" si="13"/>
        <v>0</v>
      </c>
      <c r="J161">
        <f t="shared" si="14"/>
        <v>0</v>
      </c>
    </row>
    <row r="162" spans="1:10" x14ac:dyDescent="0.2">
      <c r="A162" t="s">
        <v>2524</v>
      </c>
      <c r="B162" t="s">
        <v>35</v>
      </c>
      <c r="C162" t="s">
        <v>2525</v>
      </c>
      <c r="D162" t="s">
        <v>2306</v>
      </c>
      <c r="E162" t="s">
        <v>461</v>
      </c>
      <c r="F162" s="2">
        <f t="shared" si="10"/>
        <v>3526</v>
      </c>
      <c r="G162" s="1">
        <f t="shared" si="11"/>
        <v>189500</v>
      </c>
      <c r="H162" s="2">
        <f t="shared" si="12"/>
        <v>65</v>
      </c>
      <c r="I162" s="2">
        <f t="shared" si="13"/>
        <v>0</v>
      </c>
      <c r="J162">
        <f t="shared" si="14"/>
        <v>0</v>
      </c>
    </row>
    <row r="163" spans="1:10" x14ac:dyDescent="0.2">
      <c r="A163" t="s">
        <v>1696</v>
      </c>
      <c r="B163" t="s">
        <v>200</v>
      </c>
      <c r="C163" t="s">
        <v>1697</v>
      </c>
      <c r="D163" t="s">
        <v>108</v>
      </c>
      <c r="E163" t="s">
        <v>1698</v>
      </c>
      <c r="F163" s="2">
        <f t="shared" si="10"/>
        <v>3512</v>
      </c>
      <c r="G163" s="1">
        <f t="shared" si="11"/>
        <v>350000</v>
      </c>
      <c r="H163" s="2">
        <f t="shared" si="12"/>
        <v>66</v>
      </c>
      <c r="I163" s="2">
        <f t="shared" si="13"/>
        <v>7</v>
      </c>
      <c r="J163">
        <f t="shared" si="14"/>
        <v>47</v>
      </c>
    </row>
    <row r="164" spans="1:10" x14ac:dyDescent="0.2">
      <c r="A164" t="s">
        <v>2004</v>
      </c>
      <c r="B164" t="s">
        <v>451</v>
      </c>
      <c r="C164" t="s">
        <v>2005</v>
      </c>
      <c r="D164" t="s">
        <v>741</v>
      </c>
      <c r="E164" t="s">
        <v>2006</v>
      </c>
      <c r="F164" s="2">
        <f t="shared" si="10"/>
        <v>3523</v>
      </c>
      <c r="G164" s="1">
        <f t="shared" si="11"/>
        <v>235000</v>
      </c>
      <c r="H164" s="2">
        <f t="shared" si="12"/>
        <v>66</v>
      </c>
      <c r="I164" s="2">
        <f t="shared" si="13"/>
        <v>0</v>
      </c>
      <c r="J164">
        <f t="shared" si="14"/>
        <v>0</v>
      </c>
    </row>
    <row r="165" spans="1:10" x14ac:dyDescent="0.2">
      <c r="A165" t="s">
        <v>2007</v>
      </c>
      <c r="B165" t="s">
        <v>26</v>
      </c>
      <c r="C165" t="s">
        <v>2008</v>
      </c>
      <c r="D165" t="s">
        <v>460</v>
      </c>
      <c r="E165" t="s">
        <v>2009</v>
      </c>
      <c r="F165" s="2">
        <f t="shared" si="10"/>
        <v>3513</v>
      </c>
      <c r="G165" s="1">
        <f t="shared" si="11"/>
        <v>265000</v>
      </c>
      <c r="H165" s="2">
        <f t="shared" si="12"/>
        <v>66</v>
      </c>
      <c r="I165" s="2">
        <f t="shared" si="13"/>
        <v>0</v>
      </c>
      <c r="J165">
        <f t="shared" si="14"/>
        <v>0</v>
      </c>
    </row>
    <row r="166" spans="1:10" x14ac:dyDescent="0.2">
      <c r="A166" t="s">
        <v>2043</v>
      </c>
      <c r="B166" t="s">
        <v>45</v>
      </c>
      <c r="C166" t="s">
        <v>2044</v>
      </c>
      <c r="D166" t="s">
        <v>379</v>
      </c>
      <c r="E166" t="s">
        <v>2045</v>
      </c>
      <c r="F166" s="2">
        <f t="shared" si="10"/>
        <v>3551</v>
      </c>
      <c r="G166" s="1">
        <f t="shared" si="11"/>
        <v>275000</v>
      </c>
      <c r="H166" s="2">
        <f t="shared" si="12"/>
        <v>66</v>
      </c>
      <c r="I166" s="2">
        <f t="shared" si="13"/>
        <v>7</v>
      </c>
      <c r="J166">
        <f t="shared" si="14"/>
        <v>55</v>
      </c>
    </row>
    <row r="167" spans="1:10" x14ac:dyDescent="0.2">
      <c r="A167" t="s">
        <v>2741</v>
      </c>
      <c r="B167" t="s">
        <v>69</v>
      </c>
      <c r="C167" t="s">
        <v>2742</v>
      </c>
      <c r="D167" t="s">
        <v>1909</v>
      </c>
      <c r="E167" t="s">
        <v>2743</v>
      </c>
      <c r="F167" s="2">
        <f t="shared" si="10"/>
        <v>3521</v>
      </c>
      <c r="G167" s="1">
        <f t="shared" si="11"/>
        <v>219000</v>
      </c>
      <c r="H167" s="2">
        <f t="shared" si="12"/>
        <v>66</v>
      </c>
      <c r="I167" s="2">
        <f t="shared" si="13"/>
        <v>0</v>
      </c>
      <c r="J167">
        <f t="shared" si="14"/>
        <v>0</v>
      </c>
    </row>
    <row r="168" spans="1:10" x14ac:dyDescent="0.2">
      <c r="A168" t="s">
        <v>739</v>
      </c>
      <c r="B168" t="s">
        <v>130</v>
      </c>
      <c r="C168" t="s">
        <v>740</v>
      </c>
      <c r="D168" t="s">
        <v>741</v>
      </c>
      <c r="E168" t="s">
        <v>742</v>
      </c>
      <c r="F168" s="2">
        <f t="shared" si="10"/>
        <v>3523</v>
      </c>
      <c r="G168" s="1">
        <f t="shared" si="11"/>
        <v>235000</v>
      </c>
      <c r="H168" s="2">
        <f t="shared" si="12"/>
        <v>67</v>
      </c>
      <c r="I168" s="2">
        <f t="shared" si="13"/>
        <v>0</v>
      </c>
      <c r="J168">
        <f t="shared" si="14"/>
        <v>0</v>
      </c>
    </row>
    <row r="169" spans="1:10" x14ac:dyDescent="0.2">
      <c r="A169" t="s">
        <v>1141</v>
      </c>
      <c r="B169" t="s">
        <v>120</v>
      </c>
      <c r="C169" t="s">
        <v>1142</v>
      </c>
      <c r="D169" t="s">
        <v>688</v>
      </c>
      <c r="E169" t="s">
        <v>1143</v>
      </c>
      <c r="F169" s="2">
        <f t="shared" si="10"/>
        <v>3541</v>
      </c>
      <c r="G169" s="1">
        <f t="shared" si="11"/>
        <v>345000</v>
      </c>
      <c r="H169" s="2">
        <f t="shared" si="12"/>
        <v>67</v>
      </c>
      <c r="I169" s="2">
        <f t="shared" si="13"/>
        <v>0</v>
      </c>
      <c r="J169">
        <f t="shared" si="14"/>
        <v>0</v>
      </c>
    </row>
    <row r="170" spans="1:10" x14ac:dyDescent="0.2">
      <c r="A170" t="s">
        <v>1168</v>
      </c>
      <c r="B170" t="s">
        <v>1014</v>
      </c>
      <c r="C170" t="s">
        <v>1169</v>
      </c>
      <c r="D170" t="s">
        <v>430</v>
      </c>
      <c r="E170" t="s">
        <v>1143</v>
      </c>
      <c r="F170" s="2">
        <f t="shared" si="10"/>
        <v>3523</v>
      </c>
      <c r="G170" s="1">
        <f t="shared" si="11"/>
        <v>250000</v>
      </c>
      <c r="H170" s="2">
        <f t="shared" si="12"/>
        <v>67</v>
      </c>
      <c r="I170" s="2">
        <f t="shared" si="13"/>
        <v>0</v>
      </c>
      <c r="J170">
        <f t="shared" si="14"/>
        <v>0</v>
      </c>
    </row>
    <row r="171" spans="1:10" x14ac:dyDescent="0.2">
      <c r="A171" t="s">
        <v>1481</v>
      </c>
      <c r="B171" t="s">
        <v>259</v>
      </c>
      <c r="C171" t="s">
        <v>1482</v>
      </c>
      <c r="D171" t="s">
        <v>374</v>
      </c>
      <c r="E171" t="s">
        <v>1143</v>
      </c>
      <c r="F171" s="2">
        <f t="shared" si="10"/>
        <v>3562</v>
      </c>
      <c r="G171" s="1">
        <f t="shared" si="11"/>
        <v>165000</v>
      </c>
      <c r="H171" s="2">
        <f t="shared" si="12"/>
        <v>67</v>
      </c>
      <c r="I171" s="2">
        <f t="shared" si="13"/>
        <v>0</v>
      </c>
      <c r="J171">
        <f t="shared" si="14"/>
        <v>0</v>
      </c>
    </row>
    <row r="172" spans="1:10" x14ac:dyDescent="0.2">
      <c r="A172" t="s">
        <v>1543</v>
      </c>
      <c r="B172" t="s">
        <v>355</v>
      </c>
      <c r="C172" t="s">
        <v>1544</v>
      </c>
      <c r="D172" t="s">
        <v>57</v>
      </c>
      <c r="E172" t="s">
        <v>1143</v>
      </c>
      <c r="F172" s="2">
        <f t="shared" si="10"/>
        <v>3525</v>
      </c>
      <c r="G172" s="1">
        <f t="shared" si="11"/>
        <v>225000</v>
      </c>
      <c r="H172" s="2">
        <f t="shared" si="12"/>
        <v>67</v>
      </c>
      <c r="I172" s="2">
        <f t="shared" si="13"/>
        <v>0</v>
      </c>
      <c r="J172">
        <f t="shared" si="14"/>
        <v>0</v>
      </c>
    </row>
    <row r="173" spans="1:10" x14ac:dyDescent="0.2">
      <c r="A173" t="s">
        <v>1760</v>
      </c>
      <c r="B173" t="s">
        <v>74</v>
      </c>
      <c r="C173" t="s">
        <v>1761</v>
      </c>
      <c r="D173" t="s">
        <v>1179</v>
      </c>
      <c r="E173" t="s">
        <v>1762</v>
      </c>
      <c r="F173" s="2">
        <f t="shared" si="10"/>
        <v>3523</v>
      </c>
      <c r="G173" s="1">
        <f t="shared" si="11"/>
        <v>239000</v>
      </c>
      <c r="H173" s="2">
        <f t="shared" si="12"/>
        <v>67</v>
      </c>
      <c r="I173" s="2">
        <f t="shared" si="13"/>
        <v>0</v>
      </c>
      <c r="J173">
        <f t="shared" si="14"/>
        <v>0</v>
      </c>
    </row>
    <row r="174" spans="1:10" x14ac:dyDescent="0.2">
      <c r="A174" t="s">
        <v>2352</v>
      </c>
      <c r="B174" t="s">
        <v>64</v>
      </c>
      <c r="C174" t="s">
        <v>2353</v>
      </c>
      <c r="D174" t="s">
        <v>47</v>
      </c>
      <c r="E174" t="s">
        <v>2354</v>
      </c>
      <c r="F174" s="2">
        <f t="shared" si="10"/>
        <v>3581</v>
      </c>
      <c r="G174" s="1">
        <f t="shared" si="11"/>
        <v>289000</v>
      </c>
      <c r="H174" s="2">
        <f t="shared" si="12"/>
        <v>67</v>
      </c>
      <c r="I174" s="2">
        <f t="shared" si="13"/>
        <v>7</v>
      </c>
      <c r="J174">
        <f t="shared" si="14"/>
        <v>69</v>
      </c>
    </row>
    <row r="175" spans="1:10" x14ac:dyDescent="0.2">
      <c r="A175" t="s">
        <v>333</v>
      </c>
      <c r="B175" t="s">
        <v>97</v>
      </c>
      <c r="C175" t="s">
        <v>334</v>
      </c>
      <c r="D175" t="s">
        <v>335</v>
      </c>
      <c r="E175" t="s">
        <v>336</v>
      </c>
      <c r="F175" s="2">
        <f t="shared" si="10"/>
        <v>3515</v>
      </c>
      <c r="G175" s="1">
        <f t="shared" si="11"/>
        <v>329000</v>
      </c>
      <c r="H175" s="2">
        <f t="shared" si="12"/>
        <v>68</v>
      </c>
      <c r="I175" s="2">
        <f t="shared" si="13"/>
        <v>0</v>
      </c>
      <c r="J175">
        <f t="shared" si="14"/>
        <v>0</v>
      </c>
    </row>
    <row r="176" spans="1:10" x14ac:dyDescent="0.2">
      <c r="A176" t="s">
        <v>397</v>
      </c>
      <c r="B176" t="s">
        <v>35</v>
      </c>
      <c r="C176" t="s">
        <v>398</v>
      </c>
      <c r="D176" t="s">
        <v>57</v>
      </c>
      <c r="E176" t="s">
        <v>336</v>
      </c>
      <c r="F176" s="2">
        <f t="shared" si="10"/>
        <v>3571</v>
      </c>
      <c r="G176" s="1">
        <f t="shared" si="11"/>
        <v>225000</v>
      </c>
      <c r="H176" s="2">
        <f t="shared" si="12"/>
        <v>68</v>
      </c>
      <c r="I176" s="2">
        <f t="shared" si="13"/>
        <v>0</v>
      </c>
      <c r="J176">
        <f t="shared" si="14"/>
        <v>0</v>
      </c>
    </row>
    <row r="177" spans="1:10" x14ac:dyDescent="0.2">
      <c r="A177" t="s">
        <v>399</v>
      </c>
      <c r="B177" t="s">
        <v>74</v>
      </c>
      <c r="C177" t="s">
        <v>400</v>
      </c>
      <c r="D177" t="s">
        <v>401</v>
      </c>
      <c r="E177" t="s">
        <v>402</v>
      </c>
      <c r="F177" s="2">
        <f t="shared" si="10"/>
        <v>3514</v>
      </c>
      <c r="G177" s="1">
        <f t="shared" si="11"/>
        <v>319000</v>
      </c>
      <c r="H177" s="2">
        <f t="shared" si="12"/>
        <v>68</v>
      </c>
      <c r="I177" s="2">
        <f t="shared" si="13"/>
        <v>0</v>
      </c>
      <c r="J177">
        <f t="shared" si="14"/>
        <v>0</v>
      </c>
    </row>
    <row r="178" spans="1:10" x14ac:dyDescent="0.2">
      <c r="A178" t="s">
        <v>1137</v>
      </c>
      <c r="B178" t="s">
        <v>166</v>
      </c>
      <c r="C178" t="s">
        <v>1138</v>
      </c>
      <c r="D178" t="s">
        <v>274</v>
      </c>
      <c r="E178" t="s">
        <v>402</v>
      </c>
      <c r="F178" s="2">
        <f t="shared" si="10"/>
        <v>3561</v>
      </c>
      <c r="G178" s="1">
        <f t="shared" si="11"/>
        <v>209000</v>
      </c>
      <c r="H178" s="2">
        <f t="shared" si="12"/>
        <v>68</v>
      </c>
      <c r="I178" s="2">
        <f t="shared" si="13"/>
        <v>0</v>
      </c>
      <c r="J178">
        <f t="shared" si="14"/>
        <v>0</v>
      </c>
    </row>
    <row r="179" spans="1:10" x14ac:dyDescent="0.2">
      <c r="A179" t="s">
        <v>1345</v>
      </c>
      <c r="B179" t="s">
        <v>792</v>
      </c>
      <c r="C179" t="s">
        <v>1346</v>
      </c>
      <c r="D179" t="s">
        <v>57</v>
      </c>
      <c r="E179" t="s">
        <v>402</v>
      </c>
      <c r="F179" s="2">
        <f t="shared" si="10"/>
        <v>3526</v>
      </c>
      <c r="G179" s="1">
        <f t="shared" si="11"/>
        <v>225000</v>
      </c>
      <c r="H179" s="2">
        <f t="shared" si="12"/>
        <v>68</v>
      </c>
      <c r="I179" s="2">
        <f t="shared" si="13"/>
        <v>0</v>
      </c>
      <c r="J179">
        <f t="shared" si="14"/>
        <v>0</v>
      </c>
    </row>
    <row r="180" spans="1:10" x14ac:dyDescent="0.2">
      <c r="A180" t="s">
        <v>1364</v>
      </c>
      <c r="B180" t="s">
        <v>35</v>
      </c>
      <c r="C180" t="s">
        <v>1365</v>
      </c>
      <c r="D180" t="s">
        <v>57</v>
      </c>
      <c r="E180" t="s">
        <v>402</v>
      </c>
      <c r="F180" s="2">
        <f t="shared" si="10"/>
        <v>3571</v>
      </c>
      <c r="G180" s="1">
        <f t="shared" si="11"/>
        <v>225000</v>
      </c>
      <c r="H180" s="2">
        <f t="shared" si="12"/>
        <v>68</v>
      </c>
      <c r="I180" s="2">
        <f t="shared" si="13"/>
        <v>0</v>
      </c>
      <c r="J180">
        <f t="shared" si="14"/>
        <v>0</v>
      </c>
    </row>
    <row r="181" spans="1:10" x14ac:dyDescent="0.2">
      <c r="A181" t="s">
        <v>1551</v>
      </c>
      <c r="B181" t="s">
        <v>560</v>
      </c>
      <c r="C181" t="s">
        <v>1552</v>
      </c>
      <c r="D181" t="s">
        <v>1553</v>
      </c>
      <c r="E181" t="s">
        <v>336</v>
      </c>
      <c r="F181" s="2">
        <f t="shared" si="10"/>
        <v>3571</v>
      </c>
      <c r="G181" s="1">
        <f t="shared" si="11"/>
        <v>229500</v>
      </c>
      <c r="H181" s="2">
        <f t="shared" si="12"/>
        <v>68</v>
      </c>
      <c r="I181" s="2">
        <f t="shared" si="13"/>
        <v>0</v>
      </c>
      <c r="J181">
        <f t="shared" si="14"/>
        <v>0</v>
      </c>
    </row>
    <row r="182" spans="1:10" x14ac:dyDescent="0.2">
      <c r="A182" t="s">
        <v>2021</v>
      </c>
      <c r="B182" t="s">
        <v>148</v>
      </c>
      <c r="C182" t="s">
        <v>2022</v>
      </c>
      <c r="D182" t="s">
        <v>251</v>
      </c>
      <c r="E182" t="s">
        <v>2023</v>
      </c>
      <c r="F182" s="2">
        <f t="shared" si="10"/>
        <v>3555</v>
      </c>
      <c r="G182" s="1">
        <f t="shared" si="11"/>
        <v>270000</v>
      </c>
      <c r="H182" s="2">
        <f t="shared" si="12"/>
        <v>68</v>
      </c>
      <c r="I182" s="2">
        <f t="shared" si="13"/>
        <v>7</v>
      </c>
      <c r="J182">
        <f t="shared" si="14"/>
        <v>126</v>
      </c>
    </row>
    <row r="183" spans="1:10" x14ac:dyDescent="0.2">
      <c r="A183" t="s">
        <v>2404</v>
      </c>
      <c r="B183" t="s">
        <v>524</v>
      </c>
      <c r="C183" t="s">
        <v>2405</v>
      </c>
      <c r="D183" t="s">
        <v>52</v>
      </c>
      <c r="E183" t="s">
        <v>2406</v>
      </c>
      <c r="F183" s="2">
        <f t="shared" si="10"/>
        <v>3531</v>
      </c>
      <c r="G183" s="1">
        <f t="shared" si="11"/>
        <v>325000</v>
      </c>
      <c r="H183" s="2">
        <f t="shared" si="12"/>
        <v>68</v>
      </c>
      <c r="I183" s="2">
        <f t="shared" si="13"/>
        <v>7</v>
      </c>
      <c r="J183">
        <f t="shared" si="14"/>
        <v>60</v>
      </c>
    </row>
    <row r="184" spans="1:10" x14ac:dyDescent="0.2">
      <c r="A184" t="s">
        <v>2468</v>
      </c>
      <c r="B184" t="s">
        <v>152</v>
      </c>
      <c r="C184" t="s">
        <v>2469</v>
      </c>
      <c r="D184" t="s">
        <v>251</v>
      </c>
      <c r="E184" t="s">
        <v>336</v>
      </c>
      <c r="F184" s="2">
        <f t="shared" si="10"/>
        <v>3552</v>
      </c>
      <c r="G184" s="1">
        <f t="shared" si="11"/>
        <v>270000</v>
      </c>
      <c r="H184" s="2">
        <f t="shared" si="12"/>
        <v>68</v>
      </c>
      <c r="I184" s="2">
        <f t="shared" si="13"/>
        <v>0</v>
      </c>
      <c r="J184">
        <f t="shared" si="14"/>
        <v>0</v>
      </c>
    </row>
    <row r="185" spans="1:10" x14ac:dyDescent="0.2">
      <c r="A185" t="s">
        <v>2572</v>
      </c>
      <c r="B185" t="s">
        <v>55</v>
      </c>
      <c r="C185" t="s">
        <v>2573</v>
      </c>
      <c r="D185" t="s">
        <v>57</v>
      </c>
      <c r="E185" t="s">
        <v>336</v>
      </c>
      <c r="F185" s="2">
        <f t="shared" si="10"/>
        <v>3571</v>
      </c>
      <c r="G185" s="1">
        <f t="shared" si="11"/>
        <v>225000</v>
      </c>
      <c r="H185" s="2">
        <f t="shared" si="12"/>
        <v>68</v>
      </c>
      <c r="I185" s="2">
        <f t="shared" si="13"/>
        <v>0</v>
      </c>
      <c r="J185">
        <f t="shared" si="14"/>
        <v>0</v>
      </c>
    </row>
    <row r="186" spans="1:10" x14ac:dyDescent="0.2">
      <c r="A186" t="s">
        <v>2937</v>
      </c>
      <c r="B186" t="s">
        <v>1014</v>
      </c>
      <c r="C186" t="s">
        <v>2938</v>
      </c>
      <c r="D186" t="s">
        <v>379</v>
      </c>
      <c r="E186" t="s">
        <v>336</v>
      </c>
      <c r="F186" s="2">
        <f t="shared" si="10"/>
        <v>3582</v>
      </c>
      <c r="G186" s="1">
        <f t="shared" si="11"/>
        <v>275000</v>
      </c>
      <c r="H186" s="2">
        <f t="shared" si="12"/>
        <v>68</v>
      </c>
      <c r="I186" s="2">
        <f t="shared" si="13"/>
        <v>0</v>
      </c>
      <c r="J186">
        <f t="shared" si="14"/>
        <v>0</v>
      </c>
    </row>
    <row r="187" spans="1:10" x14ac:dyDescent="0.2">
      <c r="A187" t="s">
        <v>480</v>
      </c>
      <c r="B187" t="s">
        <v>342</v>
      </c>
      <c r="C187" t="s">
        <v>481</v>
      </c>
      <c r="D187" t="s">
        <v>482</v>
      </c>
      <c r="E187" t="s">
        <v>483</v>
      </c>
      <c r="F187" s="2">
        <f t="shared" si="10"/>
        <v>3555</v>
      </c>
      <c r="G187" s="1">
        <f t="shared" si="11"/>
        <v>230000</v>
      </c>
      <c r="H187" s="2">
        <f t="shared" si="12"/>
        <v>69</v>
      </c>
      <c r="I187" s="2">
        <f t="shared" si="13"/>
        <v>0</v>
      </c>
      <c r="J187">
        <f t="shared" si="14"/>
        <v>0</v>
      </c>
    </row>
    <row r="188" spans="1:10" x14ac:dyDescent="0.2">
      <c r="A188" t="s">
        <v>619</v>
      </c>
      <c r="B188" t="s">
        <v>6</v>
      </c>
      <c r="C188" t="s">
        <v>620</v>
      </c>
      <c r="D188" t="s">
        <v>401</v>
      </c>
      <c r="E188" t="s">
        <v>621</v>
      </c>
      <c r="F188" s="2">
        <f t="shared" si="10"/>
        <v>3512</v>
      </c>
      <c r="G188" s="1">
        <f t="shared" si="11"/>
        <v>319000</v>
      </c>
      <c r="H188" s="2">
        <f t="shared" si="12"/>
        <v>69</v>
      </c>
      <c r="I188" s="2">
        <f t="shared" si="13"/>
        <v>7</v>
      </c>
      <c r="J188">
        <f t="shared" si="14"/>
        <v>33</v>
      </c>
    </row>
    <row r="189" spans="1:10" x14ac:dyDescent="0.2">
      <c r="A189" t="s">
        <v>701</v>
      </c>
      <c r="B189" t="s">
        <v>92</v>
      </c>
      <c r="C189" t="s">
        <v>702</v>
      </c>
      <c r="D189" t="s">
        <v>460</v>
      </c>
      <c r="E189" t="s">
        <v>703</v>
      </c>
      <c r="F189" s="2">
        <f t="shared" si="10"/>
        <v>3513</v>
      </c>
      <c r="G189" s="1">
        <f t="shared" si="11"/>
        <v>265000</v>
      </c>
      <c r="H189" s="2">
        <f t="shared" si="12"/>
        <v>69</v>
      </c>
      <c r="I189" s="2">
        <f t="shared" si="13"/>
        <v>0</v>
      </c>
      <c r="J189">
        <f t="shared" si="14"/>
        <v>0</v>
      </c>
    </row>
    <row r="190" spans="1:10" x14ac:dyDescent="0.2">
      <c r="A190" t="s">
        <v>1109</v>
      </c>
      <c r="B190" t="s">
        <v>355</v>
      </c>
      <c r="C190" t="s">
        <v>1110</v>
      </c>
      <c r="D190" t="s">
        <v>430</v>
      </c>
      <c r="E190" t="s">
        <v>703</v>
      </c>
      <c r="F190" s="2">
        <f t="shared" si="10"/>
        <v>3552</v>
      </c>
      <c r="G190" s="1">
        <f t="shared" si="11"/>
        <v>250000</v>
      </c>
      <c r="H190" s="2">
        <f t="shared" si="12"/>
        <v>69</v>
      </c>
      <c r="I190" s="2">
        <f t="shared" si="13"/>
        <v>0</v>
      </c>
      <c r="J190">
        <f t="shared" si="14"/>
        <v>0</v>
      </c>
    </row>
    <row r="191" spans="1:10" x14ac:dyDescent="0.2">
      <c r="A191" t="s">
        <v>1591</v>
      </c>
      <c r="B191" t="s">
        <v>229</v>
      </c>
      <c r="C191" t="s">
        <v>1592</v>
      </c>
      <c r="D191" t="s">
        <v>542</v>
      </c>
      <c r="E191" t="s">
        <v>703</v>
      </c>
      <c r="F191" s="2">
        <f t="shared" si="10"/>
        <v>3541</v>
      </c>
      <c r="G191" s="1">
        <f t="shared" si="11"/>
        <v>285000</v>
      </c>
      <c r="H191" s="2">
        <f t="shared" si="12"/>
        <v>69</v>
      </c>
      <c r="I191" s="2">
        <f t="shared" si="13"/>
        <v>0</v>
      </c>
      <c r="J191">
        <f t="shared" si="14"/>
        <v>0</v>
      </c>
    </row>
    <row r="192" spans="1:10" x14ac:dyDescent="0.2">
      <c r="A192" t="s">
        <v>1766</v>
      </c>
      <c r="B192" t="s">
        <v>64</v>
      </c>
      <c r="C192" t="s">
        <v>1767</v>
      </c>
      <c r="D192" t="s">
        <v>99</v>
      </c>
      <c r="E192" t="s">
        <v>1768</v>
      </c>
      <c r="F192" s="2">
        <f t="shared" si="10"/>
        <v>3581</v>
      </c>
      <c r="G192" s="1">
        <f t="shared" si="11"/>
        <v>300000</v>
      </c>
      <c r="H192" s="2">
        <f t="shared" si="12"/>
        <v>69</v>
      </c>
      <c r="I192" s="2">
        <f t="shared" si="13"/>
        <v>7</v>
      </c>
      <c r="J192">
        <f t="shared" si="14"/>
        <v>45</v>
      </c>
    </row>
    <row r="193" spans="1:10" x14ac:dyDescent="0.2">
      <c r="A193" t="s">
        <v>2059</v>
      </c>
      <c r="B193" t="s">
        <v>306</v>
      </c>
      <c r="C193" t="s">
        <v>2060</v>
      </c>
      <c r="D193" t="s">
        <v>379</v>
      </c>
      <c r="E193" t="s">
        <v>703</v>
      </c>
      <c r="F193" s="2">
        <f t="shared" si="10"/>
        <v>3522</v>
      </c>
      <c r="G193" s="1">
        <f t="shared" si="11"/>
        <v>275000</v>
      </c>
      <c r="H193" s="2">
        <f t="shared" si="12"/>
        <v>69</v>
      </c>
      <c r="I193" s="2">
        <f t="shared" si="13"/>
        <v>0</v>
      </c>
      <c r="J193">
        <f t="shared" si="14"/>
        <v>0</v>
      </c>
    </row>
    <row r="194" spans="1:10" x14ac:dyDescent="0.2">
      <c r="A194" t="s">
        <v>2600</v>
      </c>
      <c r="B194" t="s">
        <v>833</v>
      </c>
      <c r="C194" t="s">
        <v>2601</v>
      </c>
      <c r="D194" t="s">
        <v>741</v>
      </c>
      <c r="E194" t="s">
        <v>2602</v>
      </c>
      <c r="F194" s="2">
        <f t="shared" ref="F194:F257" si="15">VALUE(LEFT(RIGHT(C194,15),4))</f>
        <v>3555</v>
      </c>
      <c r="G194" s="1">
        <f t="shared" ref="G194:G257" si="16">VALUE(MID(D194,3,FIND(" ",D194,3)-3))</f>
        <v>235000</v>
      </c>
      <c r="H194" s="2">
        <f t="shared" ref="H194:H257" si="17">VALUE(LEFT(E194,FIND(" ",E194,1)-1))</f>
        <v>69</v>
      </c>
      <c r="I194" s="2">
        <f t="shared" ref="I194:I257" si="18">IFERROR(FIND("/",E194,1),0)</f>
        <v>7</v>
      </c>
      <c r="J194">
        <f t="shared" ref="J194:J257" si="19">IF(I194=0,0,VALUE(MID(E194,FIND("/",E194,1)+2,(FIND(" ",E194,FIND("/",E194,1)+2)-(FIND("/",E194,1))-1))))</f>
        <v>98</v>
      </c>
    </row>
    <row r="195" spans="1:10" x14ac:dyDescent="0.2">
      <c r="A195" t="s">
        <v>54</v>
      </c>
      <c r="B195" t="s">
        <v>55</v>
      </c>
      <c r="C195" t="s">
        <v>56</v>
      </c>
      <c r="D195" t="s">
        <v>57</v>
      </c>
      <c r="E195" t="s">
        <v>58</v>
      </c>
      <c r="F195" s="2">
        <f t="shared" si="15"/>
        <v>3555</v>
      </c>
      <c r="G195" s="1">
        <f t="shared" si="16"/>
        <v>225000</v>
      </c>
      <c r="H195" s="2">
        <f t="shared" si="17"/>
        <v>70</v>
      </c>
      <c r="I195" s="2">
        <f t="shared" si="18"/>
        <v>7</v>
      </c>
      <c r="J195">
        <f t="shared" si="19"/>
        <v>120</v>
      </c>
    </row>
    <row r="196" spans="1:10" x14ac:dyDescent="0.2">
      <c r="A196" t="s">
        <v>258</v>
      </c>
      <c r="B196" t="s">
        <v>259</v>
      </c>
      <c r="C196" t="s">
        <v>260</v>
      </c>
      <c r="D196" t="s">
        <v>261</v>
      </c>
      <c r="E196" t="s">
        <v>262</v>
      </c>
      <c r="F196" s="2">
        <f t="shared" si="15"/>
        <v>3527</v>
      </c>
      <c r="G196" s="1">
        <f t="shared" si="16"/>
        <v>195000</v>
      </c>
      <c r="H196" s="2">
        <f t="shared" si="17"/>
        <v>70</v>
      </c>
      <c r="I196" s="2">
        <f t="shared" si="18"/>
        <v>0</v>
      </c>
      <c r="J196">
        <f t="shared" si="19"/>
        <v>0</v>
      </c>
    </row>
    <row r="197" spans="1:10" x14ac:dyDescent="0.2">
      <c r="A197" t="s">
        <v>501</v>
      </c>
      <c r="B197" t="s">
        <v>502</v>
      </c>
      <c r="C197" t="s">
        <v>503</v>
      </c>
      <c r="D197" t="s">
        <v>52</v>
      </c>
      <c r="E197" t="s">
        <v>504</v>
      </c>
      <c r="F197" s="2">
        <f t="shared" si="15"/>
        <v>3581</v>
      </c>
      <c r="G197" s="1">
        <f t="shared" si="16"/>
        <v>325000</v>
      </c>
      <c r="H197" s="2">
        <f t="shared" si="17"/>
        <v>70</v>
      </c>
      <c r="I197" s="2">
        <f t="shared" si="18"/>
        <v>7</v>
      </c>
      <c r="J197">
        <f t="shared" si="19"/>
        <v>76</v>
      </c>
    </row>
    <row r="198" spans="1:10" x14ac:dyDescent="0.2">
      <c r="A198" t="s">
        <v>650</v>
      </c>
      <c r="B198" t="s">
        <v>316</v>
      </c>
      <c r="C198" t="s">
        <v>651</v>
      </c>
      <c r="D198" t="s">
        <v>395</v>
      </c>
      <c r="E198" t="s">
        <v>652</v>
      </c>
      <c r="F198" s="2">
        <f t="shared" si="15"/>
        <v>3553</v>
      </c>
      <c r="G198" s="1">
        <f t="shared" si="16"/>
        <v>295000</v>
      </c>
      <c r="H198" s="2">
        <f t="shared" si="17"/>
        <v>70</v>
      </c>
      <c r="I198" s="2">
        <f t="shared" si="18"/>
        <v>7</v>
      </c>
      <c r="J198">
        <f t="shared" si="19"/>
        <v>124</v>
      </c>
    </row>
    <row r="199" spans="1:10" x14ac:dyDescent="0.2">
      <c r="A199" t="s">
        <v>785</v>
      </c>
      <c r="B199" t="s">
        <v>50</v>
      </c>
      <c r="C199" t="s">
        <v>786</v>
      </c>
      <c r="D199" t="s">
        <v>57</v>
      </c>
      <c r="E199" t="s">
        <v>787</v>
      </c>
      <c r="F199" s="2">
        <f t="shared" si="15"/>
        <v>3527</v>
      </c>
      <c r="G199" s="1">
        <f t="shared" si="16"/>
        <v>225000</v>
      </c>
      <c r="H199" s="2">
        <f t="shared" si="17"/>
        <v>70</v>
      </c>
      <c r="I199" s="2">
        <f t="shared" si="18"/>
        <v>0</v>
      </c>
      <c r="J199">
        <f t="shared" si="19"/>
        <v>0</v>
      </c>
    </row>
    <row r="200" spans="1:10" x14ac:dyDescent="0.2">
      <c r="A200" t="s">
        <v>983</v>
      </c>
      <c r="B200" t="s">
        <v>792</v>
      </c>
      <c r="C200" t="s">
        <v>984</v>
      </c>
      <c r="D200" t="s">
        <v>379</v>
      </c>
      <c r="E200" t="s">
        <v>262</v>
      </c>
      <c r="F200" s="2">
        <f t="shared" si="15"/>
        <v>3522</v>
      </c>
      <c r="G200" s="1">
        <f t="shared" si="16"/>
        <v>275000</v>
      </c>
      <c r="H200" s="2">
        <f t="shared" si="17"/>
        <v>70</v>
      </c>
      <c r="I200" s="2">
        <f t="shared" si="18"/>
        <v>0</v>
      </c>
      <c r="J200">
        <f t="shared" si="19"/>
        <v>0</v>
      </c>
    </row>
    <row r="201" spans="1:10" x14ac:dyDescent="0.2">
      <c r="A201" t="s">
        <v>1520</v>
      </c>
      <c r="B201" t="s">
        <v>294</v>
      </c>
      <c r="C201" t="s">
        <v>1521</v>
      </c>
      <c r="D201" t="s">
        <v>1522</v>
      </c>
      <c r="E201" t="s">
        <v>787</v>
      </c>
      <c r="F201" s="2">
        <f t="shared" si="15"/>
        <v>3561</v>
      </c>
      <c r="G201" s="1">
        <f t="shared" si="16"/>
        <v>168000</v>
      </c>
      <c r="H201" s="2">
        <f t="shared" si="17"/>
        <v>70</v>
      </c>
      <c r="I201" s="2">
        <f t="shared" si="18"/>
        <v>0</v>
      </c>
      <c r="J201">
        <f t="shared" si="19"/>
        <v>0</v>
      </c>
    </row>
    <row r="202" spans="1:10" x14ac:dyDescent="0.2">
      <c r="A202" t="s">
        <v>1970</v>
      </c>
      <c r="B202" t="s">
        <v>311</v>
      </c>
      <c r="C202" t="s">
        <v>1971</v>
      </c>
      <c r="D202" t="s">
        <v>37</v>
      </c>
      <c r="E202" t="s">
        <v>262</v>
      </c>
      <c r="F202" s="2">
        <f t="shared" si="15"/>
        <v>3514</v>
      </c>
      <c r="G202" s="1">
        <f t="shared" si="16"/>
        <v>375000</v>
      </c>
      <c r="H202" s="2">
        <f t="shared" si="17"/>
        <v>70</v>
      </c>
      <c r="I202" s="2">
        <f t="shared" si="18"/>
        <v>0</v>
      </c>
      <c r="J202">
        <f t="shared" si="19"/>
        <v>0</v>
      </c>
    </row>
    <row r="203" spans="1:10" x14ac:dyDescent="0.2">
      <c r="A203" t="s">
        <v>1978</v>
      </c>
      <c r="B203" t="s">
        <v>524</v>
      </c>
      <c r="C203" t="s">
        <v>1979</v>
      </c>
      <c r="D203" t="s">
        <v>1980</v>
      </c>
      <c r="E203" t="s">
        <v>262</v>
      </c>
      <c r="F203" s="2">
        <f t="shared" si="15"/>
        <v>3533</v>
      </c>
      <c r="G203" s="1">
        <f t="shared" si="16"/>
        <v>248000</v>
      </c>
      <c r="H203" s="2">
        <f t="shared" si="17"/>
        <v>70</v>
      </c>
      <c r="I203" s="2">
        <f t="shared" si="18"/>
        <v>0</v>
      </c>
      <c r="J203">
        <f t="shared" si="19"/>
        <v>0</v>
      </c>
    </row>
    <row r="204" spans="1:10" x14ac:dyDescent="0.2">
      <c r="A204" t="s">
        <v>2283</v>
      </c>
      <c r="B204" t="s">
        <v>192</v>
      </c>
      <c r="C204" t="s">
        <v>2284</v>
      </c>
      <c r="D204" t="s">
        <v>1787</v>
      </c>
      <c r="E204" t="s">
        <v>787</v>
      </c>
      <c r="F204" s="2">
        <f t="shared" si="15"/>
        <v>3554</v>
      </c>
      <c r="G204" s="1">
        <f t="shared" si="16"/>
        <v>210000</v>
      </c>
      <c r="H204" s="2">
        <f t="shared" si="17"/>
        <v>70</v>
      </c>
      <c r="I204" s="2">
        <f t="shared" si="18"/>
        <v>0</v>
      </c>
      <c r="J204">
        <f t="shared" si="19"/>
        <v>0</v>
      </c>
    </row>
    <row r="205" spans="1:10" x14ac:dyDescent="0.2">
      <c r="A205" t="s">
        <v>2707</v>
      </c>
      <c r="B205" t="s">
        <v>254</v>
      </c>
      <c r="C205" t="s">
        <v>2708</v>
      </c>
      <c r="D205" t="s">
        <v>1358</v>
      </c>
      <c r="E205" t="s">
        <v>2709</v>
      </c>
      <c r="F205" s="2">
        <f t="shared" si="15"/>
        <v>3581</v>
      </c>
      <c r="G205" s="1">
        <f t="shared" si="16"/>
        <v>359000</v>
      </c>
      <c r="H205" s="2">
        <f t="shared" si="17"/>
        <v>70</v>
      </c>
      <c r="I205" s="2">
        <f t="shared" si="18"/>
        <v>7</v>
      </c>
      <c r="J205">
        <f t="shared" si="19"/>
        <v>70</v>
      </c>
    </row>
    <row r="206" spans="1:10" x14ac:dyDescent="0.2">
      <c r="A206" t="s">
        <v>345</v>
      </c>
      <c r="B206" t="s">
        <v>84</v>
      </c>
      <c r="C206" t="s">
        <v>346</v>
      </c>
      <c r="D206" t="s">
        <v>347</v>
      </c>
      <c r="E206" t="s">
        <v>348</v>
      </c>
      <c r="F206" s="2">
        <f t="shared" si="15"/>
        <v>3511</v>
      </c>
      <c r="G206" s="1">
        <f t="shared" si="16"/>
        <v>315000</v>
      </c>
      <c r="H206" s="2">
        <f t="shared" si="17"/>
        <v>71</v>
      </c>
      <c r="I206" s="2">
        <f t="shared" si="18"/>
        <v>0</v>
      </c>
      <c r="J206">
        <f t="shared" si="19"/>
        <v>0</v>
      </c>
    </row>
    <row r="207" spans="1:10" x14ac:dyDescent="0.2">
      <c r="A207" t="s">
        <v>677</v>
      </c>
      <c r="B207" t="s">
        <v>148</v>
      </c>
      <c r="C207" t="s">
        <v>678</v>
      </c>
      <c r="D207" t="s">
        <v>679</v>
      </c>
      <c r="E207" t="s">
        <v>680</v>
      </c>
      <c r="F207" s="2">
        <f t="shared" si="15"/>
        <v>3572</v>
      </c>
      <c r="G207" s="1">
        <f t="shared" si="16"/>
        <v>335000</v>
      </c>
      <c r="H207" s="2">
        <f t="shared" si="17"/>
        <v>71</v>
      </c>
      <c r="I207" s="2">
        <f t="shared" si="18"/>
        <v>7</v>
      </c>
      <c r="J207">
        <f t="shared" si="19"/>
        <v>52</v>
      </c>
    </row>
    <row r="208" spans="1:10" x14ac:dyDescent="0.2">
      <c r="A208" t="s">
        <v>1005</v>
      </c>
      <c r="B208" t="s">
        <v>125</v>
      </c>
      <c r="C208" t="s">
        <v>1006</v>
      </c>
      <c r="D208" t="s">
        <v>1007</v>
      </c>
      <c r="E208" t="s">
        <v>1008</v>
      </c>
      <c r="F208" s="2">
        <f t="shared" si="15"/>
        <v>3551</v>
      </c>
      <c r="G208" s="1">
        <f t="shared" si="16"/>
        <v>279000</v>
      </c>
      <c r="H208" s="2">
        <f t="shared" si="17"/>
        <v>71</v>
      </c>
      <c r="I208" s="2">
        <f t="shared" si="18"/>
        <v>7</v>
      </c>
      <c r="J208">
        <f t="shared" si="19"/>
        <v>59</v>
      </c>
    </row>
    <row r="209" spans="1:10" x14ac:dyDescent="0.2">
      <c r="A209" t="s">
        <v>1255</v>
      </c>
      <c r="B209" t="s">
        <v>355</v>
      </c>
      <c r="C209" t="s">
        <v>1256</v>
      </c>
      <c r="D209" t="s">
        <v>266</v>
      </c>
      <c r="E209" t="s">
        <v>348</v>
      </c>
      <c r="F209" s="2">
        <f t="shared" si="15"/>
        <v>3523</v>
      </c>
      <c r="G209" s="1">
        <f t="shared" si="16"/>
        <v>255000</v>
      </c>
      <c r="H209" s="2">
        <f t="shared" si="17"/>
        <v>71</v>
      </c>
      <c r="I209" s="2">
        <f t="shared" si="18"/>
        <v>0</v>
      </c>
      <c r="J209">
        <f t="shared" si="19"/>
        <v>0</v>
      </c>
    </row>
    <row r="210" spans="1:10" x14ac:dyDescent="0.2">
      <c r="A210" t="s">
        <v>1944</v>
      </c>
      <c r="B210" t="s">
        <v>306</v>
      </c>
      <c r="C210" t="s">
        <v>1945</v>
      </c>
      <c r="D210" t="s">
        <v>430</v>
      </c>
      <c r="E210" t="s">
        <v>1946</v>
      </c>
      <c r="F210" s="2">
        <f t="shared" si="15"/>
        <v>3553</v>
      </c>
      <c r="G210" s="1">
        <f t="shared" si="16"/>
        <v>250000</v>
      </c>
      <c r="H210" s="2">
        <f t="shared" si="17"/>
        <v>71</v>
      </c>
      <c r="I210" s="2">
        <f t="shared" si="18"/>
        <v>7</v>
      </c>
      <c r="J210">
        <f t="shared" si="19"/>
        <v>66</v>
      </c>
    </row>
    <row r="211" spans="1:10" x14ac:dyDescent="0.2">
      <c r="A211" t="s">
        <v>2033</v>
      </c>
      <c r="B211" t="s">
        <v>254</v>
      </c>
      <c r="C211" t="s">
        <v>2034</v>
      </c>
      <c r="D211" t="s">
        <v>52</v>
      </c>
      <c r="E211" t="s">
        <v>2035</v>
      </c>
      <c r="F211" s="2">
        <f t="shared" si="15"/>
        <v>3514</v>
      </c>
      <c r="G211" s="1">
        <f t="shared" si="16"/>
        <v>325000</v>
      </c>
      <c r="H211" s="2">
        <f t="shared" si="17"/>
        <v>71</v>
      </c>
      <c r="I211" s="2">
        <f t="shared" si="18"/>
        <v>7</v>
      </c>
      <c r="J211">
        <f t="shared" si="19"/>
        <v>63</v>
      </c>
    </row>
    <row r="212" spans="1:10" x14ac:dyDescent="0.2">
      <c r="A212" t="s">
        <v>2287</v>
      </c>
      <c r="B212" t="s">
        <v>204</v>
      </c>
      <c r="C212" t="s">
        <v>2288</v>
      </c>
      <c r="D212" t="s">
        <v>327</v>
      </c>
      <c r="E212" t="s">
        <v>348</v>
      </c>
      <c r="F212" s="2">
        <f t="shared" si="15"/>
        <v>3522</v>
      </c>
      <c r="G212" s="1">
        <f t="shared" si="16"/>
        <v>245000</v>
      </c>
      <c r="H212" s="2">
        <f t="shared" si="17"/>
        <v>71</v>
      </c>
      <c r="I212" s="2">
        <f t="shared" si="18"/>
        <v>0</v>
      </c>
      <c r="J212">
        <f t="shared" si="19"/>
        <v>0</v>
      </c>
    </row>
    <row r="213" spans="1:10" x14ac:dyDescent="0.2">
      <c r="A213" t="s">
        <v>2488</v>
      </c>
      <c r="B213" t="s">
        <v>536</v>
      </c>
      <c r="C213" t="s">
        <v>2489</v>
      </c>
      <c r="D213" t="s">
        <v>430</v>
      </c>
      <c r="E213" t="s">
        <v>348</v>
      </c>
      <c r="F213" s="2">
        <f t="shared" si="15"/>
        <v>3523</v>
      </c>
      <c r="G213" s="1">
        <f t="shared" si="16"/>
        <v>250000</v>
      </c>
      <c r="H213" s="2">
        <f t="shared" si="17"/>
        <v>71</v>
      </c>
      <c r="I213" s="2">
        <f t="shared" si="18"/>
        <v>0</v>
      </c>
      <c r="J213">
        <f t="shared" si="19"/>
        <v>0</v>
      </c>
    </row>
    <row r="214" spans="1:10" x14ac:dyDescent="0.2">
      <c r="A214" t="s">
        <v>2704</v>
      </c>
      <c r="B214" t="s">
        <v>792</v>
      </c>
      <c r="C214" t="s">
        <v>2705</v>
      </c>
      <c r="D214" t="s">
        <v>741</v>
      </c>
      <c r="E214" t="s">
        <v>2706</v>
      </c>
      <c r="F214" s="2">
        <f t="shared" si="15"/>
        <v>3551</v>
      </c>
      <c r="G214" s="1">
        <f t="shared" si="16"/>
        <v>235000</v>
      </c>
      <c r="H214" s="2">
        <f t="shared" si="17"/>
        <v>71</v>
      </c>
      <c r="I214" s="2">
        <f t="shared" si="18"/>
        <v>7</v>
      </c>
      <c r="J214">
        <f t="shared" si="19"/>
        <v>96</v>
      </c>
    </row>
    <row r="215" spans="1:10" x14ac:dyDescent="0.2">
      <c r="A215" t="s">
        <v>1534</v>
      </c>
      <c r="B215" t="s">
        <v>1014</v>
      </c>
      <c r="C215" t="s">
        <v>1535</v>
      </c>
      <c r="D215" t="s">
        <v>839</v>
      </c>
      <c r="E215" t="s">
        <v>1536</v>
      </c>
      <c r="F215" s="2">
        <f t="shared" si="15"/>
        <v>3551</v>
      </c>
      <c r="G215" s="1">
        <f t="shared" si="16"/>
        <v>299000</v>
      </c>
      <c r="H215" s="2">
        <f t="shared" si="17"/>
        <v>72</v>
      </c>
      <c r="I215" s="2">
        <f t="shared" si="18"/>
        <v>7</v>
      </c>
      <c r="J215">
        <f t="shared" si="19"/>
        <v>55</v>
      </c>
    </row>
    <row r="216" spans="1:10" x14ac:dyDescent="0.2">
      <c r="A216" t="s">
        <v>1680</v>
      </c>
      <c r="B216" t="s">
        <v>84</v>
      </c>
      <c r="C216" t="s">
        <v>1681</v>
      </c>
      <c r="D216" t="s">
        <v>57</v>
      </c>
      <c r="E216" t="s">
        <v>1682</v>
      </c>
      <c r="F216" s="2">
        <f t="shared" si="15"/>
        <v>3562</v>
      </c>
      <c r="G216" s="1">
        <f t="shared" si="16"/>
        <v>225000</v>
      </c>
      <c r="H216" s="2">
        <f t="shared" si="17"/>
        <v>72</v>
      </c>
      <c r="I216" s="2">
        <f t="shared" si="18"/>
        <v>0</v>
      </c>
      <c r="J216">
        <f t="shared" si="19"/>
        <v>0</v>
      </c>
    </row>
    <row r="217" spans="1:10" x14ac:dyDescent="0.2">
      <c r="A217" t="s">
        <v>1810</v>
      </c>
      <c r="B217" t="s">
        <v>254</v>
      </c>
      <c r="C217" t="s">
        <v>1811</v>
      </c>
      <c r="D217" t="s">
        <v>318</v>
      </c>
      <c r="E217" t="s">
        <v>1682</v>
      </c>
      <c r="F217" s="2">
        <f t="shared" si="15"/>
        <v>3554</v>
      </c>
      <c r="G217" s="1">
        <f t="shared" si="16"/>
        <v>185000</v>
      </c>
      <c r="H217" s="2">
        <f t="shared" si="17"/>
        <v>72</v>
      </c>
      <c r="I217" s="2">
        <f t="shared" si="18"/>
        <v>0</v>
      </c>
      <c r="J217">
        <f t="shared" si="19"/>
        <v>0</v>
      </c>
    </row>
    <row r="218" spans="1:10" x14ac:dyDescent="0.2">
      <c r="A218" t="s">
        <v>2012</v>
      </c>
      <c r="B218" t="s">
        <v>833</v>
      </c>
      <c r="C218" t="s">
        <v>2013</v>
      </c>
      <c r="D218" t="s">
        <v>379</v>
      </c>
      <c r="E218" t="s">
        <v>2014</v>
      </c>
      <c r="F218" s="2">
        <f t="shared" si="15"/>
        <v>3552</v>
      </c>
      <c r="G218" s="1">
        <f t="shared" si="16"/>
        <v>275000</v>
      </c>
      <c r="H218" s="2">
        <f t="shared" si="17"/>
        <v>72</v>
      </c>
      <c r="I218" s="2">
        <f t="shared" si="18"/>
        <v>7</v>
      </c>
      <c r="J218">
        <f t="shared" si="19"/>
        <v>122</v>
      </c>
    </row>
    <row r="219" spans="1:10" x14ac:dyDescent="0.2">
      <c r="A219" t="s">
        <v>2024</v>
      </c>
      <c r="B219" t="s">
        <v>64</v>
      </c>
      <c r="C219" t="s">
        <v>2025</v>
      </c>
      <c r="D219" t="s">
        <v>430</v>
      </c>
      <c r="E219" t="s">
        <v>2026</v>
      </c>
      <c r="F219" s="2">
        <f t="shared" si="15"/>
        <v>3551</v>
      </c>
      <c r="G219" s="1">
        <f t="shared" si="16"/>
        <v>250000</v>
      </c>
      <c r="H219" s="2">
        <f t="shared" si="17"/>
        <v>72</v>
      </c>
      <c r="I219" s="2">
        <f t="shared" si="18"/>
        <v>7</v>
      </c>
      <c r="J219">
        <f t="shared" si="19"/>
        <v>73</v>
      </c>
    </row>
    <row r="220" spans="1:10" x14ac:dyDescent="0.2">
      <c r="A220" t="s">
        <v>165</v>
      </c>
      <c r="B220" t="s">
        <v>166</v>
      </c>
      <c r="C220" t="s">
        <v>167</v>
      </c>
      <c r="D220" t="s">
        <v>168</v>
      </c>
      <c r="E220" t="s">
        <v>169</v>
      </c>
      <c r="F220" s="2">
        <f t="shared" si="15"/>
        <v>3514</v>
      </c>
      <c r="G220" s="1">
        <f t="shared" si="16"/>
        <v>299500</v>
      </c>
      <c r="H220" s="2">
        <f t="shared" si="17"/>
        <v>73</v>
      </c>
      <c r="I220" s="2">
        <f t="shared" si="18"/>
        <v>0</v>
      </c>
      <c r="J220">
        <f t="shared" si="19"/>
        <v>0</v>
      </c>
    </row>
    <row r="221" spans="1:10" x14ac:dyDescent="0.2">
      <c r="A221" t="s">
        <v>712</v>
      </c>
      <c r="B221" t="s">
        <v>162</v>
      </c>
      <c r="C221" t="s">
        <v>713</v>
      </c>
      <c r="D221" t="s">
        <v>52</v>
      </c>
      <c r="E221" t="s">
        <v>169</v>
      </c>
      <c r="F221" s="2">
        <f t="shared" si="15"/>
        <v>3514</v>
      </c>
      <c r="G221" s="1">
        <f t="shared" si="16"/>
        <v>325000</v>
      </c>
      <c r="H221" s="2">
        <f t="shared" si="17"/>
        <v>73</v>
      </c>
      <c r="I221" s="2">
        <f t="shared" si="18"/>
        <v>0</v>
      </c>
      <c r="J221">
        <f t="shared" si="19"/>
        <v>0</v>
      </c>
    </row>
    <row r="222" spans="1:10" x14ac:dyDescent="0.2">
      <c r="A222" t="s">
        <v>1048</v>
      </c>
      <c r="B222" t="s">
        <v>736</v>
      </c>
      <c r="C222" t="s">
        <v>1049</v>
      </c>
      <c r="D222" t="s">
        <v>99</v>
      </c>
      <c r="E222" t="s">
        <v>1050</v>
      </c>
      <c r="F222" s="2">
        <f t="shared" si="15"/>
        <v>3531</v>
      </c>
      <c r="G222" s="1">
        <f t="shared" si="16"/>
        <v>300000</v>
      </c>
      <c r="H222" s="2">
        <f t="shared" si="17"/>
        <v>73</v>
      </c>
      <c r="I222" s="2">
        <f t="shared" si="18"/>
        <v>7</v>
      </c>
      <c r="J222">
        <f t="shared" si="19"/>
        <v>63</v>
      </c>
    </row>
    <row r="223" spans="1:10" x14ac:dyDescent="0.2">
      <c r="A223" t="s">
        <v>1967</v>
      </c>
      <c r="B223" t="s">
        <v>130</v>
      </c>
      <c r="C223" t="s">
        <v>1968</v>
      </c>
      <c r="D223" t="s">
        <v>1969</v>
      </c>
      <c r="E223" t="s">
        <v>169</v>
      </c>
      <c r="F223" s="2">
        <f t="shared" si="15"/>
        <v>3541</v>
      </c>
      <c r="G223" s="1">
        <f t="shared" si="16"/>
        <v>335550</v>
      </c>
      <c r="H223" s="2">
        <f t="shared" si="17"/>
        <v>73</v>
      </c>
      <c r="I223" s="2">
        <f t="shared" si="18"/>
        <v>0</v>
      </c>
      <c r="J223">
        <f t="shared" si="19"/>
        <v>0</v>
      </c>
    </row>
    <row r="224" spans="1:10" x14ac:dyDescent="0.2">
      <c r="A224" t="s">
        <v>1991</v>
      </c>
      <c r="B224" t="s">
        <v>240</v>
      </c>
      <c r="C224" t="s">
        <v>1992</v>
      </c>
      <c r="D224" t="s">
        <v>1579</v>
      </c>
      <c r="E224" t="s">
        <v>169</v>
      </c>
      <c r="F224" s="2">
        <f t="shared" si="15"/>
        <v>3572</v>
      </c>
      <c r="G224" s="1">
        <f t="shared" si="16"/>
        <v>280000</v>
      </c>
      <c r="H224" s="2">
        <f t="shared" si="17"/>
        <v>73</v>
      </c>
      <c r="I224" s="2">
        <f t="shared" si="18"/>
        <v>0</v>
      </c>
      <c r="J224">
        <f t="shared" si="19"/>
        <v>0</v>
      </c>
    </row>
    <row r="225" spans="1:10" x14ac:dyDescent="0.2">
      <c r="A225" t="s">
        <v>2171</v>
      </c>
      <c r="B225" t="s">
        <v>204</v>
      </c>
      <c r="C225" t="s">
        <v>2172</v>
      </c>
      <c r="D225" t="s">
        <v>546</v>
      </c>
      <c r="E225" t="s">
        <v>2173</v>
      </c>
      <c r="F225" s="2">
        <f t="shared" si="15"/>
        <v>3531</v>
      </c>
      <c r="G225" s="1">
        <f t="shared" si="16"/>
        <v>339000</v>
      </c>
      <c r="H225" s="2">
        <f t="shared" si="17"/>
        <v>73</v>
      </c>
      <c r="I225" s="2">
        <f t="shared" si="18"/>
        <v>7</v>
      </c>
      <c r="J225">
        <f t="shared" si="19"/>
        <v>55</v>
      </c>
    </row>
    <row r="226" spans="1:10" x14ac:dyDescent="0.2">
      <c r="A226" t="s">
        <v>2890</v>
      </c>
      <c r="B226" t="s">
        <v>115</v>
      </c>
      <c r="C226" t="s">
        <v>2891</v>
      </c>
      <c r="D226" t="s">
        <v>66</v>
      </c>
      <c r="E226" t="s">
        <v>2892</v>
      </c>
      <c r="F226" s="2">
        <f t="shared" si="15"/>
        <v>3554</v>
      </c>
      <c r="G226" s="1">
        <f t="shared" si="16"/>
        <v>349000</v>
      </c>
      <c r="H226" s="2">
        <f t="shared" si="17"/>
        <v>73</v>
      </c>
      <c r="I226" s="2">
        <f t="shared" si="18"/>
        <v>7</v>
      </c>
      <c r="J226">
        <f t="shared" si="19"/>
        <v>97</v>
      </c>
    </row>
    <row r="227" spans="1:10" x14ac:dyDescent="0.2">
      <c r="A227" t="s">
        <v>161</v>
      </c>
      <c r="B227" t="s">
        <v>162</v>
      </c>
      <c r="C227" t="s">
        <v>163</v>
      </c>
      <c r="D227" t="s">
        <v>57</v>
      </c>
      <c r="E227" t="s">
        <v>164</v>
      </c>
      <c r="F227" s="2">
        <f t="shared" si="15"/>
        <v>3553</v>
      </c>
      <c r="G227" s="1">
        <f t="shared" si="16"/>
        <v>225000</v>
      </c>
      <c r="H227" s="2">
        <f t="shared" si="17"/>
        <v>74</v>
      </c>
      <c r="I227" s="2">
        <f t="shared" si="18"/>
        <v>0</v>
      </c>
      <c r="J227">
        <f t="shared" si="19"/>
        <v>0</v>
      </c>
    </row>
    <row r="228" spans="1:10" x14ac:dyDescent="0.2">
      <c r="A228" t="s">
        <v>428</v>
      </c>
      <c r="B228" t="s">
        <v>21</v>
      </c>
      <c r="C228" t="s">
        <v>429</v>
      </c>
      <c r="D228" t="s">
        <v>430</v>
      </c>
      <c r="E228" t="s">
        <v>431</v>
      </c>
      <c r="F228" s="2">
        <f t="shared" si="15"/>
        <v>3527</v>
      </c>
      <c r="G228" s="1">
        <f t="shared" si="16"/>
        <v>250000</v>
      </c>
      <c r="H228" s="2">
        <f t="shared" si="17"/>
        <v>74</v>
      </c>
      <c r="I228" s="2">
        <f t="shared" si="18"/>
        <v>7</v>
      </c>
      <c r="J228">
        <f t="shared" si="19"/>
        <v>130</v>
      </c>
    </row>
    <row r="229" spans="1:10" x14ac:dyDescent="0.2">
      <c r="A229" t="s">
        <v>432</v>
      </c>
      <c r="B229" t="s">
        <v>209</v>
      </c>
      <c r="C229" t="s">
        <v>433</v>
      </c>
      <c r="D229" t="s">
        <v>430</v>
      </c>
      <c r="E229" t="s">
        <v>434</v>
      </c>
      <c r="F229" s="2">
        <f t="shared" si="15"/>
        <v>3544</v>
      </c>
      <c r="G229" s="1">
        <f t="shared" si="16"/>
        <v>250000</v>
      </c>
      <c r="H229" s="2">
        <f t="shared" si="17"/>
        <v>74</v>
      </c>
      <c r="I229" s="2">
        <f t="shared" si="18"/>
        <v>7</v>
      </c>
      <c r="J229">
        <f t="shared" si="19"/>
        <v>110</v>
      </c>
    </row>
    <row r="230" spans="1:10" x14ac:dyDescent="0.2">
      <c r="A230" t="s">
        <v>1394</v>
      </c>
      <c r="B230" t="s">
        <v>1014</v>
      </c>
      <c r="C230" t="s">
        <v>1395</v>
      </c>
      <c r="D230" t="s">
        <v>379</v>
      </c>
      <c r="E230" t="s">
        <v>164</v>
      </c>
      <c r="F230" s="2">
        <f t="shared" si="15"/>
        <v>3532</v>
      </c>
      <c r="G230" s="1">
        <f t="shared" si="16"/>
        <v>275000</v>
      </c>
      <c r="H230" s="2">
        <f t="shared" si="17"/>
        <v>74</v>
      </c>
      <c r="I230" s="2">
        <f t="shared" si="18"/>
        <v>0</v>
      </c>
      <c r="J230">
        <f t="shared" si="19"/>
        <v>0</v>
      </c>
    </row>
    <row r="231" spans="1:10" x14ac:dyDescent="0.2">
      <c r="A231" t="s">
        <v>2075</v>
      </c>
      <c r="B231" t="s">
        <v>311</v>
      </c>
      <c r="C231" t="s">
        <v>2076</v>
      </c>
      <c r="D231" t="s">
        <v>1007</v>
      </c>
      <c r="E231" t="s">
        <v>2077</v>
      </c>
      <c r="F231" s="2">
        <f t="shared" si="15"/>
        <v>3551</v>
      </c>
      <c r="G231" s="1">
        <f t="shared" si="16"/>
        <v>279000</v>
      </c>
      <c r="H231" s="2">
        <f t="shared" si="17"/>
        <v>74</v>
      </c>
      <c r="I231" s="2">
        <f t="shared" si="18"/>
        <v>7</v>
      </c>
      <c r="J231">
        <f t="shared" si="19"/>
        <v>64</v>
      </c>
    </row>
    <row r="232" spans="1:10" x14ac:dyDescent="0.2">
      <c r="A232" t="s">
        <v>2528</v>
      </c>
      <c r="B232" t="s">
        <v>560</v>
      </c>
      <c r="C232" t="s">
        <v>2529</v>
      </c>
      <c r="D232" t="s">
        <v>444</v>
      </c>
      <c r="E232" t="s">
        <v>2530</v>
      </c>
      <c r="F232" s="2">
        <f t="shared" si="15"/>
        <v>3527</v>
      </c>
      <c r="G232" s="1">
        <f t="shared" si="16"/>
        <v>200000</v>
      </c>
      <c r="H232" s="2">
        <f t="shared" si="17"/>
        <v>74</v>
      </c>
      <c r="I232" s="2">
        <f t="shared" si="18"/>
        <v>0</v>
      </c>
      <c r="J232">
        <f t="shared" si="19"/>
        <v>0</v>
      </c>
    </row>
    <row r="233" spans="1:10" x14ac:dyDescent="0.2">
      <c r="A233" t="s">
        <v>2664</v>
      </c>
      <c r="B233" t="s">
        <v>536</v>
      </c>
      <c r="C233" t="s">
        <v>2665</v>
      </c>
      <c r="D233" t="s">
        <v>491</v>
      </c>
      <c r="E233" t="s">
        <v>2666</v>
      </c>
      <c r="F233" s="2">
        <f t="shared" si="15"/>
        <v>3515</v>
      </c>
      <c r="G233" s="1">
        <f t="shared" si="16"/>
        <v>215000</v>
      </c>
      <c r="H233" s="2">
        <f t="shared" si="17"/>
        <v>74</v>
      </c>
      <c r="I233" s="2">
        <f t="shared" si="18"/>
        <v>0</v>
      </c>
      <c r="J233">
        <f t="shared" si="19"/>
        <v>0</v>
      </c>
    </row>
    <row r="234" spans="1:10" x14ac:dyDescent="0.2">
      <c r="A234" t="s">
        <v>2954</v>
      </c>
      <c r="B234" t="s">
        <v>417</v>
      </c>
      <c r="C234" t="s">
        <v>2955</v>
      </c>
      <c r="D234" t="s">
        <v>688</v>
      </c>
      <c r="E234" t="s">
        <v>2956</v>
      </c>
      <c r="F234" s="2">
        <f t="shared" si="15"/>
        <v>3583</v>
      </c>
      <c r="G234" s="1">
        <f t="shared" si="16"/>
        <v>345000</v>
      </c>
      <c r="H234" s="2">
        <f t="shared" si="17"/>
        <v>74</v>
      </c>
      <c r="I234" s="2">
        <f t="shared" si="18"/>
        <v>7</v>
      </c>
      <c r="J234">
        <f t="shared" si="19"/>
        <v>65</v>
      </c>
    </row>
    <row r="235" spans="1:10" x14ac:dyDescent="0.2">
      <c r="A235" t="s">
        <v>129</v>
      </c>
      <c r="B235" t="s">
        <v>130</v>
      </c>
      <c r="C235" t="s">
        <v>131</v>
      </c>
      <c r="D235" t="s">
        <v>132</v>
      </c>
      <c r="E235" t="s">
        <v>133</v>
      </c>
      <c r="F235" s="2">
        <f t="shared" si="15"/>
        <v>3553</v>
      </c>
      <c r="G235" s="1">
        <f t="shared" si="16"/>
        <v>259000</v>
      </c>
      <c r="H235" s="2">
        <f t="shared" si="17"/>
        <v>75</v>
      </c>
      <c r="I235" s="2">
        <f t="shared" si="18"/>
        <v>0</v>
      </c>
      <c r="J235">
        <f t="shared" si="19"/>
        <v>0</v>
      </c>
    </row>
    <row r="236" spans="1:10" x14ac:dyDescent="0.2">
      <c r="A236" t="s">
        <v>489</v>
      </c>
      <c r="B236" t="s">
        <v>325</v>
      </c>
      <c r="C236" t="s">
        <v>490</v>
      </c>
      <c r="D236" t="s">
        <v>491</v>
      </c>
      <c r="E236" t="s">
        <v>492</v>
      </c>
      <c r="F236" s="2">
        <f t="shared" si="15"/>
        <v>3527</v>
      </c>
      <c r="G236" s="1">
        <f t="shared" si="16"/>
        <v>215000</v>
      </c>
      <c r="H236" s="2">
        <f t="shared" si="17"/>
        <v>75</v>
      </c>
      <c r="I236" s="2">
        <f t="shared" si="18"/>
        <v>0</v>
      </c>
      <c r="J236">
        <f t="shared" si="19"/>
        <v>0</v>
      </c>
    </row>
    <row r="237" spans="1:10" x14ac:dyDescent="0.2">
      <c r="A237" t="s">
        <v>1328</v>
      </c>
      <c r="B237" t="s">
        <v>264</v>
      </c>
      <c r="C237" t="s">
        <v>1329</v>
      </c>
      <c r="D237" t="s">
        <v>108</v>
      </c>
      <c r="E237" t="s">
        <v>1330</v>
      </c>
      <c r="F237" s="2">
        <f t="shared" si="15"/>
        <v>3583</v>
      </c>
      <c r="G237" s="1">
        <f t="shared" si="16"/>
        <v>350000</v>
      </c>
      <c r="H237" s="2">
        <f t="shared" si="17"/>
        <v>75</v>
      </c>
      <c r="I237" s="2">
        <f t="shared" si="18"/>
        <v>7</v>
      </c>
      <c r="J237">
        <f t="shared" si="19"/>
        <v>118</v>
      </c>
    </row>
    <row r="238" spans="1:10" x14ac:dyDescent="0.2">
      <c r="A238" t="s">
        <v>1613</v>
      </c>
      <c r="B238" t="s">
        <v>575</v>
      </c>
      <c r="C238" t="s">
        <v>1614</v>
      </c>
      <c r="D238" t="s">
        <v>444</v>
      </c>
      <c r="E238" t="s">
        <v>1615</v>
      </c>
      <c r="F238" s="2">
        <f t="shared" si="15"/>
        <v>3527</v>
      </c>
      <c r="G238" s="1">
        <f t="shared" si="16"/>
        <v>200000</v>
      </c>
      <c r="H238" s="2">
        <f t="shared" si="17"/>
        <v>75</v>
      </c>
      <c r="I238" s="2">
        <f t="shared" si="18"/>
        <v>0</v>
      </c>
      <c r="J238">
        <f t="shared" si="19"/>
        <v>0</v>
      </c>
    </row>
    <row r="239" spans="1:10" x14ac:dyDescent="0.2">
      <c r="A239" t="s">
        <v>1911</v>
      </c>
      <c r="B239" t="s">
        <v>524</v>
      </c>
      <c r="C239" t="s">
        <v>1912</v>
      </c>
      <c r="D239" t="s">
        <v>974</v>
      </c>
      <c r="E239" t="s">
        <v>1913</v>
      </c>
      <c r="F239" s="2">
        <f t="shared" si="15"/>
        <v>3581</v>
      </c>
      <c r="G239" s="1">
        <f t="shared" si="16"/>
        <v>310000</v>
      </c>
      <c r="H239" s="2">
        <f t="shared" si="17"/>
        <v>75</v>
      </c>
      <c r="I239" s="2">
        <f t="shared" si="18"/>
        <v>7</v>
      </c>
      <c r="J239">
        <f t="shared" si="19"/>
        <v>33</v>
      </c>
    </row>
    <row r="240" spans="1:10" x14ac:dyDescent="0.2">
      <c r="A240" t="s">
        <v>2119</v>
      </c>
      <c r="B240" t="s">
        <v>736</v>
      </c>
      <c r="C240" t="s">
        <v>2120</v>
      </c>
      <c r="D240" t="s">
        <v>927</v>
      </c>
      <c r="E240" t="s">
        <v>133</v>
      </c>
      <c r="F240" s="2">
        <f t="shared" si="15"/>
        <v>3523</v>
      </c>
      <c r="G240" s="1">
        <f t="shared" si="16"/>
        <v>249500</v>
      </c>
      <c r="H240" s="2">
        <f t="shared" si="17"/>
        <v>75</v>
      </c>
      <c r="I240" s="2">
        <f t="shared" si="18"/>
        <v>0</v>
      </c>
      <c r="J240">
        <f t="shared" si="19"/>
        <v>0</v>
      </c>
    </row>
    <row r="241" spans="1:10" x14ac:dyDescent="0.2">
      <c r="A241" t="s">
        <v>290</v>
      </c>
      <c r="B241" t="s">
        <v>97</v>
      </c>
      <c r="C241" t="s">
        <v>291</v>
      </c>
      <c r="D241" t="s">
        <v>251</v>
      </c>
      <c r="E241" t="s">
        <v>292</v>
      </c>
      <c r="F241" s="2">
        <f t="shared" si="15"/>
        <v>3584</v>
      </c>
      <c r="G241" s="1">
        <f t="shared" si="16"/>
        <v>270000</v>
      </c>
      <c r="H241" s="2">
        <f t="shared" si="17"/>
        <v>76</v>
      </c>
      <c r="I241" s="2">
        <f t="shared" si="18"/>
        <v>0</v>
      </c>
      <c r="J241">
        <f t="shared" si="19"/>
        <v>0</v>
      </c>
    </row>
    <row r="242" spans="1:10" x14ac:dyDescent="0.2">
      <c r="A242" t="s">
        <v>298</v>
      </c>
      <c r="B242" t="s">
        <v>115</v>
      </c>
      <c r="C242" t="s">
        <v>299</v>
      </c>
      <c r="D242" t="s">
        <v>132</v>
      </c>
      <c r="E242" t="s">
        <v>300</v>
      </c>
      <c r="F242" s="2">
        <f t="shared" si="15"/>
        <v>3532</v>
      </c>
      <c r="G242" s="1">
        <f t="shared" si="16"/>
        <v>259000</v>
      </c>
      <c r="H242" s="2">
        <f t="shared" si="17"/>
        <v>76</v>
      </c>
      <c r="I242" s="2">
        <f t="shared" si="18"/>
        <v>7</v>
      </c>
      <c r="J242">
        <f t="shared" si="19"/>
        <v>85</v>
      </c>
    </row>
    <row r="243" spans="1:10" x14ac:dyDescent="0.2">
      <c r="A243" t="s">
        <v>389</v>
      </c>
      <c r="B243" t="s">
        <v>97</v>
      </c>
      <c r="C243" t="s">
        <v>390</v>
      </c>
      <c r="D243" t="s">
        <v>391</v>
      </c>
      <c r="E243" t="s">
        <v>392</v>
      </c>
      <c r="F243" s="2">
        <f t="shared" si="15"/>
        <v>3544</v>
      </c>
      <c r="G243" s="1">
        <f t="shared" si="16"/>
        <v>234500</v>
      </c>
      <c r="H243" s="2">
        <f t="shared" si="17"/>
        <v>76</v>
      </c>
      <c r="I243" s="2">
        <f t="shared" si="18"/>
        <v>0</v>
      </c>
      <c r="J243">
        <f t="shared" si="19"/>
        <v>0</v>
      </c>
    </row>
    <row r="244" spans="1:10" x14ac:dyDescent="0.2">
      <c r="A244" t="s">
        <v>544</v>
      </c>
      <c r="B244" t="s">
        <v>325</v>
      </c>
      <c r="C244" t="s">
        <v>545</v>
      </c>
      <c r="D244" t="s">
        <v>546</v>
      </c>
      <c r="E244" t="s">
        <v>547</v>
      </c>
      <c r="F244" s="2">
        <f t="shared" si="15"/>
        <v>3515</v>
      </c>
      <c r="G244" s="1">
        <f t="shared" si="16"/>
        <v>339000</v>
      </c>
      <c r="H244" s="2">
        <f t="shared" si="17"/>
        <v>76</v>
      </c>
      <c r="I244" s="2">
        <f t="shared" si="18"/>
        <v>0</v>
      </c>
      <c r="J244">
        <f t="shared" si="19"/>
        <v>0</v>
      </c>
    </row>
    <row r="245" spans="1:10" x14ac:dyDescent="0.2">
      <c r="A245" t="s">
        <v>1177</v>
      </c>
      <c r="B245" t="s">
        <v>485</v>
      </c>
      <c r="C245" t="s">
        <v>1178</v>
      </c>
      <c r="D245" t="s">
        <v>1179</v>
      </c>
      <c r="E245" t="s">
        <v>547</v>
      </c>
      <c r="F245" s="2">
        <f t="shared" si="15"/>
        <v>3523</v>
      </c>
      <c r="G245" s="1">
        <f t="shared" si="16"/>
        <v>239000</v>
      </c>
      <c r="H245" s="2">
        <f t="shared" si="17"/>
        <v>76</v>
      </c>
      <c r="I245" s="2">
        <f t="shared" si="18"/>
        <v>0</v>
      </c>
      <c r="J245">
        <f t="shared" si="19"/>
        <v>0</v>
      </c>
    </row>
    <row r="246" spans="1:10" x14ac:dyDescent="0.2">
      <c r="A246" t="s">
        <v>1396</v>
      </c>
      <c r="B246" t="s">
        <v>240</v>
      </c>
      <c r="C246" t="s">
        <v>1397</v>
      </c>
      <c r="D246" t="s">
        <v>1398</v>
      </c>
      <c r="E246" t="s">
        <v>1399</v>
      </c>
      <c r="F246" s="2">
        <f t="shared" si="15"/>
        <v>3515</v>
      </c>
      <c r="G246" s="1">
        <f t="shared" si="16"/>
        <v>309000</v>
      </c>
      <c r="H246" s="2">
        <f t="shared" si="17"/>
        <v>76</v>
      </c>
      <c r="I246" s="2">
        <f t="shared" si="18"/>
        <v>7</v>
      </c>
      <c r="J246">
        <f t="shared" si="19"/>
        <v>85</v>
      </c>
    </row>
    <row r="247" spans="1:10" x14ac:dyDescent="0.2">
      <c r="A247" t="s">
        <v>1568</v>
      </c>
      <c r="B247" t="s">
        <v>377</v>
      </c>
      <c r="C247" t="s">
        <v>1569</v>
      </c>
      <c r="D247" t="s">
        <v>52</v>
      </c>
      <c r="E247" t="s">
        <v>1570</v>
      </c>
      <c r="F247" s="2">
        <f t="shared" si="15"/>
        <v>3531</v>
      </c>
      <c r="G247" s="1">
        <f t="shared" si="16"/>
        <v>325000</v>
      </c>
      <c r="H247" s="2">
        <f t="shared" si="17"/>
        <v>76</v>
      </c>
      <c r="I247" s="2">
        <f t="shared" si="18"/>
        <v>7</v>
      </c>
      <c r="J247">
        <f t="shared" si="19"/>
        <v>68</v>
      </c>
    </row>
    <row r="248" spans="1:10" x14ac:dyDescent="0.2">
      <c r="A248" t="s">
        <v>1641</v>
      </c>
      <c r="B248" t="s">
        <v>166</v>
      </c>
      <c r="C248" t="s">
        <v>1642</v>
      </c>
      <c r="D248" t="s">
        <v>430</v>
      </c>
      <c r="E248" t="s">
        <v>292</v>
      </c>
      <c r="F248" s="2">
        <f t="shared" si="15"/>
        <v>3552</v>
      </c>
      <c r="G248" s="1">
        <f t="shared" si="16"/>
        <v>250000</v>
      </c>
      <c r="H248" s="2">
        <f t="shared" si="17"/>
        <v>76</v>
      </c>
      <c r="I248" s="2">
        <f t="shared" si="18"/>
        <v>0</v>
      </c>
      <c r="J248">
        <f t="shared" si="19"/>
        <v>0</v>
      </c>
    </row>
    <row r="249" spans="1:10" x14ac:dyDescent="0.2">
      <c r="A249" t="s">
        <v>1661</v>
      </c>
      <c r="B249" t="s">
        <v>130</v>
      </c>
      <c r="C249" t="s">
        <v>1662</v>
      </c>
      <c r="D249" t="s">
        <v>37</v>
      </c>
      <c r="E249" t="s">
        <v>547</v>
      </c>
      <c r="F249" s="2">
        <f t="shared" si="15"/>
        <v>3583</v>
      </c>
      <c r="G249" s="1">
        <f t="shared" si="16"/>
        <v>375000</v>
      </c>
      <c r="H249" s="2">
        <f t="shared" si="17"/>
        <v>76</v>
      </c>
      <c r="I249" s="2">
        <f t="shared" si="18"/>
        <v>0</v>
      </c>
      <c r="J249">
        <f t="shared" si="19"/>
        <v>0</v>
      </c>
    </row>
    <row r="250" spans="1:10" x14ac:dyDescent="0.2">
      <c r="A250" t="s">
        <v>2061</v>
      </c>
      <c r="B250" t="s">
        <v>187</v>
      </c>
      <c r="C250" t="s">
        <v>2062</v>
      </c>
      <c r="D250" t="s">
        <v>52</v>
      </c>
      <c r="E250" t="s">
        <v>392</v>
      </c>
      <c r="F250" s="2">
        <f t="shared" si="15"/>
        <v>3514</v>
      </c>
      <c r="G250" s="1">
        <f t="shared" si="16"/>
        <v>325000</v>
      </c>
      <c r="H250" s="2">
        <f t="shared" si="17"/>
        <v>76</v>
      </c>
      <c r="I250" s="2">
        <f t="shared" si="18"/>
        <v>0</v>
      </c>
      <c r="J250">
        <f t="shared" si="19"/>
        <v>0</v>
      </c>
    </row>
    <row r="251" spans="1:10" x14ac:dyDescent="0.2">
      <c r="A251" t="s">
        <v>2380</v>
      </c>
      <c r="B251" t="s">
        <v>524</v>
      </c>
      <c r="C251" t="s">
        <v>2381</v>
      </c>
      <c r="D251" t="s">
        <v>482</v>
      </c>
      <c r="E251" t="s">
        <v>2382</v>
      </c>
      <c r="F251" s="2">
        <f t="shared" si="15"/>
        <v>3555</v>
      </c>
      <c r="G251" s="1">
        <f t="shared" si="16"/>
        <v>230000</v>
      </c>
      <c r="H251" s="2">
        <f t="shared" si="17"/>
        <v>76</v>
      </c>
      <c r="I251" s="2">
        <f t="shared" si="18"/>
        <v>0</v>
      </c>
      <c r="J251">
        <f t="shared" si="19"/>
        <v>0</v>
      </c>
    </row>
    <row r="252" spans="1:10" x14ac:dyDescent="0.2">
      <c r="A252" t="s">
        <v>49</v>
      </c>
      <c r="B252" t="s">
        <v>50</v>
      </c>
      <c r="C252" t="s">
        <v>51</v>
      </c>
      <c r="D252" t="s">
        <v>52</v>
      </c>
      <c r="E252" t="s">
        <v>53</v>
      </c>
      <c r="F252" s="2">
        <f t="shared" si="15"/>
        <v>3573</v>
      </c>
      <c r="G252" s="1">
        <f t="shared" si="16"/>
        <v>325000</v>
      </c>
      <c r="H252" s="2">
        <f t="shared" si="17"/>
        <v>77</v>
      </c>
      <c r="I252" s="2">
        <f t="shared" si="18"/>
        <v>7</v>
      </c>
      <c r="J252">
        <f t="shared" si="19"/>
        <v>110</v>
      </c>
    </row>
    <row r="253" spans="1:10" x14ac:dyDescent="0.2">
      <c r="A253" t="s">
        <v>911</v>
      </c>
      <c r="B253" t="s">
        <v>115</v>
      </c>
      <c r="C253" t="s">
        <v>912</v>
      </c>
      <c r="D253" t="s">
        <v>913</v>
      </c>
      <c r="E253" t="s">
        <v>914</v>
      </c>
      <c r="F253" s="2">
        <f t="shared" si="15"/>
        <v>3553</v>
      </c>
      <c r="G253" s="1">
        <f t="shared" si="16"/>
        <v>274000</v>
      </c>
      <c r="H253" s="2">
        <f t="shared" si="17"/>
        <v>77</v>
      </c>
      <c r="I253" s="2">
        <f t="shared" si="18"/>
        <v>7</v>
      </c>
      <c r="J253">
        <f t="shared" si="19"/>
        <v>72</v>
      </c>
    </row>
    <row r="254" spans="1:10" x14ac:dyDescent="0.2">
      <c r="A254" t="s">
        <v>1018</v>
      </c>
      <c r="B254" t="s">
        <v>342</v>
      </c>
      <c r="C254" t="s">
        <v>1019</v>
      </c>
      <c r="D254" t="s">
        <v>194</v>
      </c>
      <c r="E254" t="s">
        <v>1020</v>
      </c>
      <c r="F254" s="2">
        <f t="shared" si="15"/>
        <v>3512</v>
      </c>
      <c r="G254" s="1">
        <f t="shared" si="16"/>
        <v>400000</v>
      </c>
      <c r="H254" s="2">
        <f t="shared" si="17"/>
        <v>77</v>
      </c>
      <c r="I254" s="2">
        <f t="shared" si="18"/>
        <v>0</v>
      </c>
      <c r="J254">
        <f t="shared" si="19"/>
        <v>0</v>
      </c>
    </row>
    <row r="255" spans="1:10" x14ac:dyDescent="0.2">
      <c r="A255" t="s">
        <v>1031</v>
      </c>
      <c r="B255" t="s">
        <v>102</v>
      </c>
      <c r="C255" t="s">
        <v>1032</v>
      </c>
      <c r="D255" t="s">
        <v>379</v>
      </c>
      <c r="E255" t="s">
        <v>1033</v>
      </c>
      <c r="F255" s="2">
        <f t="shared" si="15"/>
        <v>3552</v>
      </c>
      <c r="G255" s="1">
        <f t="shared" si="16"/>
        <v>275000</v>
      </c>
      <c r="H255" s="2">
        <f t="shared" si="17"/>
        <v>77</v>
      </c>
      <c r="I255" s="2">
        <f t="shared" si="18"/>
        <v>0</v>
      </c>
      <c r="J255">
        <f t="shared" si="19"/>
        <v>0</v>
      </c>
    </row>
    <row r="256" spans="1:10" x14ac:dyDescent="0.2">
      <c r="A256" t="s">
        <v>1091</v>
      </c>
      <c r="B256" t="s">
        <v>55</v>
      </c>
      <c r="C256" t="s">
        <v>1092</v>
      </c>
      <c r="D256" t="s">
        <v>741</v>
      </c>
      <c r="E256" t="s">
        <v>1093</v>
      </c>
      <c r="F256" s="2">
        <f t="shared" si="15"/>
        <v>3523</v>
      </c>
      <c r="G256" s="1">
        <f t="shared" si="16"/>
        <v>235000</v>
      </c>
      <c r="H256" s="2">
        <f t="shared" si="17"/>
        <v>77</v>
      </c>
      <c r="I256" s="2">
        <f t="shared" si="18"/>
        <v>0</v>
      </c>
      <c r="J256">
        <f t="shared" si="19"/>
        <v>0</v>
      </c>
    </row>
    <row r="257" spans="1:10" x14ac:dyDescent="0.2">
      <c r="A257" t="s">
        <v>1100</v>
      </c>
      <c r="B257" t="s">
        <v>40</v>
      </c>
      <c r="C257" t="s">
        <v>1101</v>
      </c>
      <c r="D257" t="s">
        <v>219</v>
      </c>
      <c r="E257" t="s">
        <v>1033</v>
      </c>
      <c r="F257" s="2">
        <f t="shared" si="15"/>
        <v>3511</v>
      </c>
      <c r="G257" s="1">
        <f t="shared" si="16"/>
        <v>410000</v>
      </c>
      <c r="H257" s="2">
        <f t="shared" si="17"/>
        <v>77</v>
      </c>
      <c r="I257" s="2">
        <f t="shared" si="18"/>
        <v>0</v>
      </c>
      <c r="J257">
        <f t="shared" si="19"/>
        <v>0</v>
      </c>
    </row>
    <row r="258" spans="1:10" x14ac:dyDescent="0.2">
      <c r="A258" t="s">
        <v>1220</v>
      </c>
      <c r="B258" t="s">
        <v>50</v>
      </c>
      <c r="C258" t="s">
        <v>1221</v>
      </c>
      <c r="D258" t="s">
        <v>1222</v>
      </c>
      <c r="E258" t="s">
        <v>1033</v>
      </c>
      <c r="F258" s="2">
        <f t="shared" ref="F258:F321" si="20">VALUE(LEFT(RIGHT(C258,15),4))</f>
        <v>3532</v>
      </c>
      <c r="G258" s="1">
        <f t="shared" ref="G258:G321" si="21">VALUE(MID(D258,3,FIND(" ",D258,3)-3))</f>
        <v>319500</v>
      </c>
      <c r="H258" s="2">
        <f t="shared" ref="H258:H321" si="22">VALUE(LEFT(E258,FIND(" ",E258,1)-1))</f>
        <v>77</v>
      </c>
      <c r="I258" s="2">
        <f t="shared" ref="I258:I321" si="23">IFERROR(FIND("/",E258,1),0)</f>
        <v>0</v>
      </c>
      <c r="J258">
        <f t="shared" ref="J258:J321" si="24">IF(I258=0,0,VALUE(MID(E258,FIND("/",E258,1)+2,(FIND(" ",E258,FIND("/",E258,1)+2)-(FIND("/",E258,1))-1))))</f>
        <v>0</v>
      </c>
    </row>
    <row r="259" spans="1:10" x14ac:dyDescent="0.2">
      <c r="A259" t="s">
        <v>1783</v>
      </c>
      <c r="B259" t="s">
        <v>355</v>
      </c>
      <c r="C259" t="s">
        <v>1784</v>
      </c>
      <c r="D259" t="s">
        <v>112</v>
      </c>
      <c r="E259" t="s">
        <v>1033</v>
      </c>
      <c r="F259" s="2">
        <f t="shared" si="20"/>
        <v>3582</v>
      </c>
      <c r="G259" s="1">
        <f t="shared" si="21"/>
        <v>349500</v>
      </c>
      <c r="H259" s="2">
        <f t="shared" si="22"/>
        <v>77</v>
      </c>
      <c r="I259" s="2">
        <f t="shared" si="23"/>
        <v>0</v>
      </c>
      <c r="J259">
        <f t="shared" si="24"/>
        <v>0</v>
      </c>
    </row>
    <row r="260" spans="1:10" x14ac:dyDescent="0.2">
      <c r="A260" t="s">
        <v>1812</v>
      </c>
      <c r="B260" t="s">
        <v>200</v>
      </c>
      <c r="C260" t="s">
        <v>1813</v>
      </c>
      <c r="D260" t="s">
        <v>379</v>
      </c>
      <c r="E260" t="s">
        <v>1814</v>
      </c>
      <c r="F260" s="2">
        <f t="shared" si="20"/>
        <v>3554</v>
      </c>
      <c r="G260" s="1">
        <f t="shared" si="21"/>
        <v>275000</v>
      </c>
      <c r="H260" s="2">
        <f t="shared" si="22"/>
        <v>77</v>
      </c>
      <c r="I260" s="2">
        <f t="shared" si="23"/>
        <v>7</v>
      </c>
      <c r="J260">
        <f t="shared" si="24"/>
        <v>103</v>
      </c>
    </row>
    <row r="261" spans="1:10" x14ac:dyDescent="0.2">
      <c r="A261" t="s">
        <v>1850</v>
      </c>
      <c r="B261" t="s">
        <v>311</v>
      </c>
      <c r="C261" t="s">
        <v>1851</v>
      </c>
      <c r="D261" t="s">
        <v>108</v>
      </c>
      <c r="E261" t="s">
        <v>1033</v>
      </c>
      <c r="F261" s="2">
        <f t="shared" si="20"/>
        <v>3551</v>
      </c>
      <c r="G261" s="1">
        <f t="shared" si="21"/>
        <v>350000</v>
      </c>
      <c r="H261" s="2">
        <f t="shared" si="22"/>
        <v>77</v>
      </c>
      <c r="I261" s="2">
        <f t="shared" si="23"/>
        <v>0</v>
      </c>
      <c r="J261">
        <f t="shared" si="24"/>
        <v>0</v>
      </c>
    </row>
    <row r="262" spans="1:10" x14ac:dyDescent="0.2">
      <c r="A262" t="s">
        <v>1878</v>
      </c>
      <c r="B262" t="s">
        <v>50</v>
      </c>
      <c r="C262" t="s">
        <v>1879</v>
      </c>
      <c r="D262" t="s">
        <v>482</v>
      </c>
      <c r="E262" t="s">
        <v>1033</v>
      </c>
      <c r="F262" s="2">
        <f t="shared" si="20"/>
        <v>3527</v>
      </c>
      <c r="G262" s="1">
        <f t="shared" si="21"/>
        <v>230000</v>
      </c>
      <c r="H262" s="2">
        <f t="shared" si="22"/>
        <v>77</v>
      </c>
      <c r="I262" s="2">
        <f t="shared" si="23"/>
        <v>0</v>
      </c>
      <c r="J262">
        <f t="shared" si="24"/>
        <v>0</v>
      </c>
    </row>
    <row r="263" spans="1:10" x14ac:dyDescent="0.2">
      <c r="A263" t="s">
        <v>1947</v>
      </c>
      <c r="B263" t="s">
        <v>350</v>
      </c>
      <c r="C263" t="s">
        <v>1948</v>
      </c>
      <c r="D263" t="s">
        <v>108</v>
      </c>
      <c r="E263" t="s">
        <v>1949</v>
      </c>
      <c r="F263" s="2">
        <f t="shared" si="20"/>
        <v>3572</v>
      </c>
      <c r="G263" s="1">
        <f t="shared" si="21"/>
        <v>350000</v>
      </c>
      <c r="H263" s="2">
        <f t="shared" si="22"/>
        <v>77</v>
      </c>
      <c r="I263" s="2">
        <f t="shared" si="23"/>
        <v>7</v>
      </c>
      <c r="J263">
        <f t="shared" si="24"/>
        <v>67</v>
      </c>
    </row>
    <row r="264" spans="1:10" x14ac:dyDescent="0.2">
      <c r="A264" t="s">
        <v>2010</v>
      </c>
      <c r="B264" t="s">
        <v>97</v>
      </c>
      <c r="C264" t="s">
        <v>2011</v>
      </c>
      <c r="D264" t="s">
        <v>37</v>
      </c>
      <c r="E264" t="s">
        <v>1033</v>
      </c>
      <c r="F264" s="2">
        <f t="shared" si="20"/>
        <v>3521</v>
      </c>
      <c r="G264" s="1">
        <f t="shared" si="21"/>
        <v>375000</v>
      </c>
      <c r="H264" s="2">
        <f t="shared" si="22"/>
        <v>77</v>
      </c>
      <c r="I264" s="2">
        <f t="shared" si="23"/>
        <v>0</v>
      </c>
      <c r="J264">
        <f t="shared" si="24"/>
        <v>0</v>
      </c>
    </row>
    <row r="265" spans="1:10" x14ac:dyDescent="0.2">
      <c r="A265" t="s">
        <v>2018</v>
      </c>
      <c r="B265" t="s">
        <v>192</v>
      </c>
      <c r="C265" t="s">
        <v>2019</v>
      </c>
      <c r="D265" t="s">
        <v>482</v>
      </c>
      <c r="E265" t="s">
        <v>2020</v>
      </c>
      <c r="F265" s="2">
        <f t="shared" si="20"/>
        <v>3553</v>
      </c>
      <c r="G265" s="1">
        <f t="shared" si="21"/>
        <v>230000</v>
      </c>
      <c r="H265" s="2">
        <f t="shared" si="22"/>
        <v>77</v>
      </c>
      <c r="I265" s="2">
        <f t="shared" si="23"/>
        <v>0</v>
      </c>
      <c r="J265">
        <f t="shared" si="24"/>
        <v>0</v>
      </c>
    </row>
    <row r="266" spans="1:10" x14ac:dyDescent="0.2">
      <c r="A266" t="s">
        <v>2039</v>
      </c>
      <c r="B266" t="s">
        <v>157</v>
      </c>
      <c r="C266" t="s">
        <v>2040</v>
      </c>
      <c r="D266" t="s">
        <v>379</v>
      </c>
      <c r="E266" t="s">
        <v>1033</v>
      </c>
      <c r="F266" s="2">
        <f t="shared" si="20"/>
        <v>3511</v>
      </c>
      <c r="G266" s="1">
        <f t="shared" si="21"/>
        <v>275000</v>
      </c>
      <c r="H266" s="2">
        <f t="shared" si="22"/>
        <v>77</v>
      </c>
      <c r="I266" s="2">
        <f t="shared" si="23"/>
        <v>0</v>
      </c>
      <c r="J266">
        <f t="shared" si="24"/>
        <v>0</v>
      </c>
    </row>
    <row r="267" spans="1:10" x14ac:dyDescent="0.2">
      <c r="A267" t="s">
        <v>2186</v>
      </c>
      <c r="B267" t="s">
        <v>485</v>
      </c>
      <c r="C267" t="s">
        <v>2187</v>
      </c>
      <c r="D267" t="s">
        <v>2188</v>
      </c>
      <c r="E267" t="s">
        <v>2189</v>
      </c>
      <c r="F267" s="2">
        <f t="shared" si="20"/>
        <v>3555</v>
      </c>
      <c r="G267" s="1">
        <f t="shared" si="21"/>
        <v>242500</v>
      </c>
      <c r="H267" s="2">
        <f t="shared" si="22"/>
        <v>77</v>
      </c>
      <c r="I267" s="2">
        <f t="shared" si="23"/>
        <v>7</v>
      </c>
      <c r="J267">
        <f t="shared" si="24"/>
        <v>26</v>
      </c>
    </row>
    <row r="268" spans="1:10" x14ac:dyDescent="0.2">
      <c r="A268" t="s">
        <v>2603</v>
      </c>
      <c r="B268" t="s">
        <v>229</v>
      </c>
      <c r="C268" t="s">
        <v>2604</v>
      </c>
      <c r="D268" t="s">
        <v>495</v>
      </c>
      <c r="E268" t="s">
        <v>1033</v>
      </c>
      <c r="F268" s="2">
        <f t="shared" si="20"/>
        <v>3581</v>
      </c>
      <c r="G268" s="1">
        <f t="shared" si="21"/>
        <v>415000</v>
      </c>
      <c r="H268" s="2">
        <f t="shared" si="22"/>
        <v>77</v>
      </c>
      <c r="I268" s="2">
        <f t="shared" si="23"/>
        <v>0</v>
      </c>
      <c r="J268">
        <f t="shared" si="24"/>
        <v>0</v>
      </c>
    </row>
    <row r="269" spans="1:10" x14ac:dyDescent="0.2">
      <c r="A269" t="s">
        <v>2888</v>
      </c>
      <c r="B269" t="s">
        <v>69</v>
      </c>
      <c r="C269" t="s">
        <v>2889</v>
      </c>
      <c r="D269" t="s">
        <v>542</v>
      </c>
      <c r="E269" t="s">
        <v>1033</v>
      </c>
      <c r="F269" s="2">
        <f t="shared" si="20"/>
        <v>3584</v>
      </c>
      <c r="G269" s="1">
        <f t="shared" si="21"/>
        <v>285000</v>
      </c>
      <c r="H269" s="2">
        <f t="shared" si="22"/>
        <v>77</v>
      </c>
      <c r="I269" s="2">
        <f t="shared" si="23"/>
        <v>0</v>
      </c>
      <c r="J269">
        <f t="shared" si="24"/>
        <v>0</v>
      </c>
    </row>
    <row r="270" spans="1:10" x14ac:dyDescent="0.2">
      <c r="A270" t="s">
        <v>567</v>
      </c>
      <c r="B270" t="s">
        <v>254</v>
      </c>
      <c r="C270" t="s">
        <v>568</v>
      </c>
      <c r="D270" t="s">
        <v>569</v>
      </c>
      <c r="E270" t="s">
        <v>570</v>
      </c>
      <c r="F270" s="2">
        <f t="shared" si="20"/>
        <v>3554</v>
      </c>
      <c r="G270" s="1">
        <f t="shared" si="21"/>
        <v>249000</v>
      </c>
      <c r="H270" s="2">
        <f t="shared" si="22"/>
        <v>78</v>
      </c>
      <c r="I270" s="2">
        <f t="shared" si="23"/>
        <v>7</v>
      </c>
      <c r="J270">
        <f t="shared" si="24"/>
        <v>81</v>
      </c>
    </row>
    <row r="271" spans="1:10" x14ac:dyDescent="0.2">
      <c r="A271" t="s">
        <v>1157</v>
      </c>
      <c r="B271" t="s">
        <v>84</v>
      </c>
      <c r="C271" t="s">
        <v>1158</v>
      </c>
      <c r="D271" t="s">
        <v>52</v>
      </c>
      <c r="E271" t="s">
        <v>1159</v>
      </c>
      <c r="F271" s="2">
        <f t="shared" si="20"/>
        <v>3551</v>
      </c>
      <c r="G271" s="1">
        <f t="shared" si="21"/>
        <v>325000</v>
      </c>
      <c r="H271" s="2">
        <f t="shared" si="22"/>
        <v>78</v>
      </c>
      <c r="I271" s="2">
        <f t="shared" si="23"/>
        <v>0</v>
      </c>
      <c r="J271">
        <f t="shared" si="24"/>
        <v>0</v>
      </c>
    </row>
    <row r="272" spans="1:10" x14ac:dyDescent="0.2">
      <c r="A272" t="s">
        <v>1917</v>
      </c>
      <c r="B272" t="s">
        <v>417</v>
      </c>
      <c r="C272" t="s">
        <v>1918</v>
      </c>
      <c r="D272" t="s">
        <v>379</v>
      </c>
      <c r="E272" t="s">
        <v>1159</v>
      </c>
      <c r="F272" s="2">
        <f t="shared" si="20"/>
        <v>3522</v>
      </c>
      <c r="G272" s="1">
        <f t="shared" si="21"/>
        <v>275000</v>
      </c>
      <c r="H272" s="2">
        <f t="shared" si="22"/>
        <v>78</v>
      </c>
      <c r="I272" s="2">
        <f t="shared" si="23"/>
        <v>0</v>
      </c>
      <c r="J272">
        <f t="shared" si="24"/>
        <v>0</v>
      </c>
    </row>
    <row r="273" spans="1:10" x14ac:dyDescent="0.2">
      <c r="A273" t="s">
        <v>2407</v>
      </c>
      <c r="B273" t="s">
        <v>792</v>
      </c>
      <c r="C273" t="s">
        <v>2408</v>
      </c>
      <c r="D273" t="s">
        <v>395</v>
      </c>
      <c r="E273" t="s">
        <v>2409</v>
      </c>
      <c r="F273" s="2">
        <f t="shared" si="20"/>
        <v>3513</v>
      </c>
      <c r="G273" s="1">
        <f t="shared" si="21"/>
        <v>295000</v>
      </c>
      <c r="H273" s="2">
        <f t="shared" si="22"/>
        <v>78</v>
      </c>
      <c r="I273" s="2">
        <f t="shared" si="23"/>
        <v>0</v>
      </c>
      <c r="J273">
        <f t="shared" si="24"/>
        <v>0</v>
      </c>
    </row>
    <row r="274" spans="1:10" x14ac:dyDescent="0.2">
      <c r="A274" t="s">
        <v>2929</v>
      </c>
      <c r="B274" t="s">
        <v>311</v>
      </c>
      <c r="C274" t="s">
        <v>2930</v>
      </c>
      <c r="D274" t="s">
        <v>444</v>
      </c>
      <c r="E274" t="s">
        <v>1159</v>
      </c>
      <c r="F274" s="2">
        <f t="shared" si="20"/>
        <v>3527</v>
      </c>
      <c r="G274" s="1">
        <f t="shared" si="21"/>
        <v>200000</v>
      </c>
      <c r="H274" s="2">
        <f t="shared" si="22"/>
        <v>78</v>
      </c>
      <c r="I274" s="2">
        <f t="shared" si="23"/>
        <v>0</v>
      </c>
      <c r="J274">
        <f t="shared" si="24"/>
        <v>0</v>
      </c>
    </row>
    <row r="275" spans="1:10" x14ac:dyDescent="0.2">
      <c r="A275" t="s">
        <v>2942</v>
      </c>
      <c r="B275" t="s">
        <v>11</v>
      </c>
      <c r="C275" t="s">
        <v>2943</v>
      </c>
      <c r="D275" t="s">
        <v>327</v>
      </c>
      <c r="E275" t="s">
        <v>2944</v>
      </c>
      <c r="F275" s="2">
        <f t="shared" si="20"/>
        <v>3523</v>
      </c>
      <c r="G275" s="1">
        <f t="shared" si="21"/>
        <v>245000</v>
      </c>
      <c r="H275" s="2">
        <f t="shared" si="22"/>
        <v>78</v>
      </c>
      <c r="I275" s="2">
        <f t="shared" si="23"/>
        <v>0</v>
      </c>
      <c r="J275">
        <f t="shared" si="24"/>
        <v>0</v>
      </c>
    </row>
    <row r="276" spans="1:10" x14ac:dyDescent="0.2">
      <c r="A276" t="s">
        <v>110</v>
      </c>
      <c r="B276" t="s">
        <v>79</v>
      </c>
      <c r="C276" t="s">
        <v>111</v>
      </c>
      <c r="D276" t="s">
        <v>112</v>
      </c>
      <c r="E276" t="s">
        <v>113</v>
      </c>
      <c r="F276" s="2">
        <f t="shared" si="20"/>
        <v>3582</v>
      </c>
      <c r="G276" s="1">
        <f t="shared" si="21"/>
        <v>349500</v>
      </c>
      <c r="H276" s="2">
        <f t="shared" si="22"/>
        <v>79</v>
      </c>
      <c r="I276" s="2">
        <f t="shared" si="23"/>
        <v>0</v>
      </c>
      <c r="J276">
        <f t="shared" si="24"/>
        <v>0</v>
      </c>
    </row>
    <row r="277" spans="1:10" x14ac:dyDescent="0.2">
      <c r="A277" t="s">
        <v>758</v>
      </c>
      <c r="B277" t="s">
        <v>6</v>
      </c>
      <c r="C277" t="s">
        <v>759</v>
      </c>
      <c r="D277" t="s">
        <v>760</v>
      </c>
      <c r="E277" t="s">
        <v>761</v>
      </c>
      <c r="F277" s="2">
        <f t="shared" si="20"/>
        <v>3551</v>
      </c>
      <c r="G277" s="1">
        <f t="shared" si="21"/>
        <v>269500</v>
      </c>
      <c r="H277" s="2">
        <f t="shared" si="22"/>
        <v>79</v>
      </c>
      <c r="I277" s="2">
        <f t="shared" si="23"/>
        <v>7</v>
      </c>
      <c r="J277">
        <f t="shared" si="24"/>
        <v>72</v>
      </c>
    </row>
    <row r="278" spans="1:10" x14ac:dyDescent="0.2">
      <c r="A278" t="s">
        <v>1066</v>
      </c>
      <c r="B278" t="s">
        <v>259</v>
      </c>
      <c r="C278" t="s">
        <v>1067</v>
      </c>
      <c r="D278" t="s">
        <v>1068</v>
      </c>
      <c r="E278" t="s">
        <v>1069</v>
      </c>
      <c r="F278" s="2">
        <f t="shared" si="20"/>
        <v>3544</v>
      </c>
      <c r="G278" s="1">
        <f t="shared" si="21"/>
        <v>242000</v>
      </c>
      <c r="H278" s="2">
        <f t="shared" si="22"/>
        <v>79</v>
      </c>
      <c r="I278" s="2">
        <f t="shared" si="23"/>
        <v>0</v>
      </c>
      <c r="J278">
        <f t="shared" si="24"/>
        <v>0</v>
      </c>
    </row>
    <row r="279" spans="1:10" x14ac:dyDescent="0.2">
      <c r="A279" t="s">
        <v>1127</v>
      </c>
      <c r="B279" t="s">
        <v>84</v>
      </c>
      <c r="C279" t="s">
        <v>1128</v>
      </c>
      <c r="D279" t="s">
        <v>1129</v>
      </c>
      <c r="E279" t="s">
        <v>1069</v>
      </c>
      <c r="F279" s="2">
        <f t="shared" si="20"/>
        <v>3514</v>
      </c>
      <c r="G279" s="1">
        <f t="shared" si="21"/>
        <v>369000</v>
      </c>
      <c r="H279" s="2">
        <f t="shared" si="22"/>
        <v>79</v>
      </c>
      <c r="I279" s="2">
        <f t="shared" si="23"/>
        <v>0</v>
      </c>
      <c r="J279">
        <f t="shared" si="24"/>
        <v>0</v>
      </c>
    </row>
    <row r="280" spans="1:10" x14ac:dyDescent="0.2">
      <c r="A280" t="s">
        <v>1453</v>
      </c>
      <c r="B280" t="s">
        <v>192</v>
      </c>
      <c r="C280" t="s">
        <v>1454</v>
      </c>
      <c r="D280" t="s">
        <v>251</v>
      </c>
      <c r="E280" t="s">
        <v>1455</v>
      </c>
      <c r="F280" s="2">
        <f t="shared" si="20"/>
        <v>3513</v>
      </c>
      <c r="G280" s="1">
        <f t="shared" si="21"/>
        <v>270000</v>
      </c>
      <c r="H280" s="2">
        <f t="shared" si="22"/>
        <v>79</v>
      </c>
      <c r="I280" s="2">
        <f t="shared" si="23"/>
        <v>0</v>
      </c>
      <c r="J280">
        <f t="shared" si="24"/>
        <v>0</v>
      </c>
    </row>
    <row r="281" spans="1:10" x14ac:dyDescent="0.2">
      <c r="A281" t="s">
        <v>2605</v>
      </c>
      <c r="B281" t="s">
        <v>92</v>
      </c>
      <c r="C281" t="s">
        <v>2606</v>
      </c>
      <c r="D281" t="s">
        <v>2607</v>
      </c>
      <c r="E281" t="s">
        <v>1069</v>
      </c>
      <c r="F281" s="2">
        <f t="shared" si="20"/>
        <v>3545</v>
      </c>
      <c r="G281" s="1">
        <f t="shared" si="21"/>
        <v>281000</v>
      </c>
      <c r="H281" s="2">
        <f t="shared" si="22"/>
        <v>79</v>
      </c>
      <c r="I281" s="2">
        <f t="shared" si="23"/>
        <v>0</v>
      </c>
      <c r="J281">
        <f t="shared" si="24"/>
        <v>0</v>
      </c>
    </row>
    <row r="282" spans="1:10" x14ac:dyDescent="0.2">
      <c r="A282" t="s">
        <v>2739</v>
      </c>
      <c r="B282" t="s">
        <v>259</v>
      </c>
      <c r="C282" t="s">
        <v>2740</v>
      </c>
      <c r="D282" t="s">
        <v>266</v>
      </c>
      <c r="E282" t="s">
        <v>1455</v>
      </c>
      <c r="F282" s="2">
        <f t="shared" si="20"/>
        <v>3552</v>
      </c>
      <c r="G282" s="1">
        <f t="shared" si="21"/>
        <v>255000</v>
      </c>
      <c r="H282" s="2">
        <f t="shared" si="22"/>
        <v>79</v>
      </c>
      <c r="I282" s="2">
        <f t="shared" si="23"/>
        <v>0</v>
      </c>
      <c r="J282">
        <f t="shared" si="24"/>
        <v>0</v>
      </c>
    </row>
    <row r="283" spans="1:10" x14ac:dyDescent="0.2">
      <c r="A283" t="s">
        <v>2817</v>
      </c>
      <c r="B283" t="s">
        <v>451</v>
      </c>
      <c r="C283" t="s">
        <v>2818</v>
      </c>
      <c r="D283" t="s">
        <v>741</v>
      </c>
      <c r="E283" t="s">
        <v>1069</v>
      </c>
      <c r="F283" s="2">
        <f t="shared" si="20"/>
        <v>3524</v>
      </c>
      <c r="G283" s="1">
        <f t="shared" si="21"/>
        <v>235000</v>
      </c>
      <c r="H283" s="2">
        <f t="shared" si="22"/>
        <v>79</v>
      </c>
      <c r="I283" s="2">
        <f t="shared" si="23"/>
        <v>0</v>
      </c>
      <c r="J283">
        <f t="shared" si="24"/>
        <v>0</v>
      </c>
    </row>
    <row r="284" spans="1:10" x14ac:dyDescent="0.2">
      <c r="A284" t="s">
        <v>96</v>
      </c>
      <c r="B284" t="s">
        <v>97</v>
      </c>
      <c r="C284" t="s">
        <v>98</v>
      </c>
      <c r="D284" t="s">
        <v>99</v>
      </c>
      <c r="E284" t="s">
        <v>100</v>
      </c>
      <c r="F284" s="2">
        <f t="shared" si="20"/>
        <v>3553</v>
      </c>
      <c r="G284" s="1">
        <f t="shared" si="21"/>
        <v>300000</v>
      </c>
      <c r="H284" s="2">
        <f t="shared" si="22"/>
        <v>80</v>
      </c>
      <c r="I284" s="2">
        <f t="shared" si="23"/>
        <v>7</v>
      </c>
      <c r="J284">
        <f t="shared" si="24"/>
        <v>162</v>
      </c>
    </row>
    <row r="285" spans="1:10" x14ac:dyDescent="0.2">
      <c r="A285" t="s">
        <v>1273</v>
      </c>
      <c r="B285" t="s">
        <v>148</v>
      </c>
      <c r="C285" t="s">
        <v>1274</v>
      </c>
      <c r="D285" t="s">
        <v>331</v>
      </c>
      <c r="E285" t="s">
        <v>1275</v>
      </c>
      <c r="F285" s="2">
        <f t="shared" si="20"/>
        <v>3582</v>
      </c>
      <c r="G285" s="1">
        <f t="shared" si="21"/>
        <v>389000</v>
      </c>
      <c r="H285" s="2">
        <f t="shared" si="22"/>
        <v>80</v>
      </c>
      <c r="I285" s="2">
        <f t="shared" si="23"/>
        <v>7</v>
      </c>
      <c r="J285">
        <f t="shared" si="24"/>
        <v>99</v>
      </c>
    </row>
    <row r="286" spans="1:10" x14ac:dyDescent="0.2">
      <c r="A286" t="s">
        <v>1496</v>
      </c>
      <c r="B286" t="s">
        <v>166</v>
      </c>
      <c r="C286" t="s">
        <v>1497</v>
      </c>
      <c r="D286" t="s">
        <v>37</v>
      </c>
      <c r="E286" t="s">
        <v>1498</v>
      </c>
      <c r="F286" s="2">
        <f t="shared" si="20"/>
        <v>3572</v>
      </c>
      <c r="G286" s="1">
        <f t="shared" si="21"/>
        <v>375000</v>
      </c>
      <c r="H286" s="2">
        <f t="shared" si="22"/>
        <v>80</v>
      </c>
      <c r="I286" s="2">
        <f t="shared" si="23"/>
        <v>0</v>
      </c>
      <c r="J286">
        <f t="shared" si="24"/>
        <v>0</v>
      </c>
    </row>
    <row r="287" spans="1:10" x14ac:dyDescent="0.2">
      <c r="A287" t="s">
        <v>1828</v>
      </c>
      <c r="B287" t="s">
        <v>175</v>
      </c>
      <c r="C287" t="s">
        <v>1829</v>
      </c>
      <c r="D287" t="s">
        <v>47</v>
      </c>
      <c r="E287" t="s">
        <v>1830</v>
      </c>
      <c r="F287" s="2">
        <f t="shared" si="20"/>
        <v>3523</v>
      </c>
      <c r="G287" s="1">
        <f t="shared" si="21"/>
        <v>289000</v>
      </c>
      <c r="H287" s="2">
        <f t="shared" si="22"/>
        <v>80</v>
      </c>
      <c r="I287" s="2">
        <f t="shared" si="23"/>
        <v>0</v>
      </c>
      <c r="J287">
        <f t="shared" si="24"/>
        <v>0</v>
      </c>
    </row>
    <row r="288" spans="1:10" x14ac:dyDescent="0.2">
      <c r="A288" t="s">
        <v>1898</v>
      </c>
      <c r="B288" t="s">
        <v>524</v>
      </c>
      <c r="C288" t="s">
        <v>1899</v>
      </c>
      <c r="D288" t="s">
        <v>1179</v>
      </c>
      <c r="E288" t="s">
        <v>1830</v>
      </c>
      <c r="F288" s="2">
        <f t="shared" si="20"/>
        <v>3524</v>
      </c>
      <c r="G288" s="1">
        <f t="shared" si="21"/>
        <v>239000</v>
      </c>
      <c r="H288" s="2">
        <f t="shared" si="22"/>
        <v>80</v>
      </c>
      <c r="I288" s="2">
        <f t="shared" si="23"/>
        <v>0</v>
      </c>
      <c r="J288">
        <f t="shared" si="24"/>
        <v>0</v>
      </c>
    </row>
    <row r="289" spans="1:10" x14ac:dyDescent="0.2">
      <c r="A289" t="s">
        <v>2482</v>
      </c>
      <c r="B289" t="s">
        <v>69</v>
      </c>
      <c r="C289" t="s">
        <v>2483</v>
      </c>
      <c r="D289" t="s">
        <v>1318</v>
      </c>
      <c r="E289" t="s">
        <v>1830</v>
      </c>
      <c r="F289" s="2">
        <f t="shared" si="20"/>
        <v>3553</v>
      </c>
      <c r="G289" s="1">
        <f t="shared" si="21"/>
        <v>229000</v>
      </c>
      <c r="H289" s="2">
        <f t="shared" si="22"/>
        <v>80</v>
      </c>
      <c r="I289" s="2">
        <f t="shared" si="23"/>
        <v>0</v>
      </c>
      <c r="J289">
        <f t="shared" si="24"/>
        <v>0</v>
      </c>
    </row>
    <row r="290" spans="1:10" x14ac:dyDescent="0.2">
      <c r="A290" t="s">
        <v>2719</v>
      </c>
      <c r="B290" t="s">
        <v>536</v>
      </c>
      <c r="C290" t="s">
        <v>2720</v>
      </c>
      <c r="D290" t="s">
        <v>2721</v>
      </c>
      <c r="E290" t="s">
        <v>1830</v>
      </c>
      <c r="F290" s="2">
        <f t="shared" si="20"/>
        <v>3562</v>
      </c>
      <c r="G290" s="1">
        <f t="shared" si="21"/>
        <v>247500</v>
      </c>
      <c r="H290" s="2">
        <f t="shared" si="22"/>
        <v>80</v>
      </c>
      <c r="I290" s="2">
        <f t="shared" si="23"/>
        <v>0</v>
      </c>
      <c r="J290">
        <f t="shared" si="24"/>
        <v>0</v>
      </c>
    </row>
    <row r="291" spans="1:10" x14ac:dyDescent="0.2">
      <c r="A291" t="s">
        <v>2759</v>
      </c>
      <c r="B291" t="s">
        <v>11</v>
      </c>
      <c r="C291" t="s">
        <v>2760</v>
      </c>
      <c r="D291" t="s">
        <v>57</v>
      </c>
      <c r="E291" t="s">
        <v>1830</v>
      </c>
      <c r="F291" s="2">
        <f t="shared" si="20"/>
        <v>3527</v>
      </c>
      <c r="G291" s="1">
        <f t="shared" si="21"/>
        <v>225000</v>
      </c>
      <c r="H291" s="2">
        <f t="shared" si="22"/>
        <v>80</v>
      </c>
      <c r="I291" s="2">
        <f t="shared" si="23"/>
        <v>0</v>
      </c>
      <c r="J291">
        <f t="shared" si="24"/>
        <v>0</v>
      </c>
    </row>
    <row r="292" spans="1:10" x14ac:dyDescent="0.2">
      <c r="A292" t="s">
        <v>2778</v>
      </c>
      <c r="B292" t="s">
        <v>536</v>
      </c>
      <c r="C292" t="s">
        <v>2779</v>
      </c>
      <c r="D292" t="s">
        <v>379</v>
      </c>
      <c r="E292" t="s">
        <v>1830</v>
      </c>
      <c r="F292" s="2">
        <f t="shared" si="20"/>
        <v>3544</v>
      </c>
      <c r="G292" s="1">
        <f t="shared" si="21"/>
        <v>275000</v>
      </c>
      <c r="H292" s="2">
        <f t="shared" si="22"/>
        <v>80</v>
      </c>
      <c r="I292" s="2">
        <f t="shared" si="23"/>
        <v>0</v>
      </c>
      <c r="J292">
        <f t="shared" si="24"/>
        <v>0</v>
      </c>
    </row>
    <row r="293" spans="1:10" x14ac:dyDescent="0.2">
      <c r="A293" t="s">
        <v>2837</v>
      </c>
      <c r="B293" t="s">
        <v>40</v>
      </c>
      <c r="C293" t="s">
        <v>2838</v>
      </c>
      <c r="D293" t="s">
        <v>430</v>
      </c>
      <c r="E293" t="s">
        <v>1830</v>
      </c>
      <c r="F293" s="2">
        <f t="shared" si="20"/>
        <v>3552</v>
      </c>
      <c r="G293" s="1">
        <f t="shared" si="21"/>
        <v>250000</v>
      </c>
      <c r="H293" s="2">
        <f t="shared" si="22"/>
        <v>80</v>
      </c>
      <c r="I293" s="2">
        <f t="shared" si="23"/>
        <v>0</v>
      </c>
      <c r="J293">
        <f t="shared" si="24"/>
        <v>0</v>
      </c>
    </row>
    <row r="294" spans="1:10" x14ac:dyDescent="0.2">
      <c r="A294" t="s">
        <v>2931</v>
      </c>
      <c r="B294" t="s">
        <v>1014</v>
      </c>
      <c r="C294" t="s">
        <v>2932</v>
      </c>
      <c r="D294" t="s">
        <v>2933</v>
      </c>
      <c r="E294" t="s">
        <v>1275</v>
      </c>
      <c r="F294" s="2">
        <f t="shared" si="20"/>
        <v>3531</v>
      </c>
      <c r="G294" s="1">
        <f t="shared" si="21"/>
        <v>320000</v>
      </c>
      <c r="H294" s="2">
        <f t="shared" si="22"/>
        <v>80</v>
      </c>
      <c r="I294" s="2">
        <f t="shared" si="23"/>
        <v>7</v>
      </c>
      <c r="J294">
        <f t="shared" si="24"/>
        <v>99</v>
      </c>
    </row>
    <row r="295" spans="1:10" x14ac:dyDescent="0.2">
      <c r="A295" t="s">
        <v>34</v>
      </c>
      <c r="B295" t="s">
        <v>35</v>
      </c>
      <c r="C295" t="s">
        <v>36</v>
      </c>
      <c r="D295" t="s">
        <v>37</v>
      </c>
      <c r="E295" t="s">
        <v>38</v>
      </c>
      <c r="F295" s="2">
        <f t="shared" si="20"/>
        <v>3514</v>
      </c>
      <c r="G295" s="1">
        <f t="shared" si="21"/>
        <v>375000</v>
      </c>
      <c r="H295" s="2">
        <f t="shared" si="22"/>
        <v>81</v>
      </c>
      <c r="I295" s="2">
        <f t="shared" si="23"/>
        <v>0</v>
      </c>
      <c r="J295">
        <f t="shared" si="24"/>
        <v>0</v>
      </c>
    </row>
    <row r="296" spans="1:10" x14ac:dyDescent="0.2">
      <c r="A296" t="s">
        <v>462</v>
      </c>
      <c r="B296" t="s">
        <v>254</v>
      </c>
      <c r="C296" t="s">
        <v>463</v>
      </c>
      <c r="D296" t="s">
        <v>339</v>
      </c>
      <c r="E296" t="s">
        <v>38</v>
      </c>
      <c r="F296" s="2">
        <f t="shared" si="20"/>
        <v>3562</v>
      </c>
      <c r="G296" s="1">
        <f t="shared" si="21"/>
        <v>175000</v>
      </c>
      <c r="H296" s="2">
        <f t="shared" si="22"/>
        <v>81</v>
      </c>
      <c r="I296" s="2">
        <f t="shared" si="23"/>
        <v>0</v>
      </c>
      <c r="J296">
        <f t="shared" si="24"/>
        <v>0</v>
      </c>
    </row>
    <row r="297" spans="1:10" x14ac:dyDescent="0.2">
      <c r="A297" t="s">
        <v>1174</v>
      </c>
      <c r="B297" t="s">
        <v>451</v>
      </c>
      <c r="C297" t="s">
        <v>1175</v>
      </c>
      <c r="D297" t="s">
        <v>379</v>
      </c>
      <c r="E297" t="s">
        <v>1176</v>
      </c>
      <c r="F297" s="2">
        <f t="shared" si="20"/>
        <v>3534</v>
      </c>
      <c r="G297" s="1">
        <f t="shared" si="21"/>
        <v>275000</v>
      </c>
      <c r="H297" s="2">
        <f t="shared" si="22"/>
        <v>81</v>
      </c>
      <c r="I297" s="2">
        <f t="shared" si="23"/>
        <v>7</v>
      </c>
      <c r="J297">
        <f t="shared" si="24"/>
        <v>94</v>
      </c>
    </row>
    <row r="298" spans="1:10" x14ac:dyDescent="0.2">
      <c r="A298" t="s">
        <v>1182</v>
      </c>
      <c r="B298" t="s">
        <v>97</v>
      </c>
      <c r="C298" t="s">
        <v>1183</v>
      </c>
      <c r="D298" t="s">
        <v>460</v>
      </c>
      <c r="E298" t="s">
        <v>1184</v>
      </c>
      <c r="F298" s="2">
        <f t="shared" si="20"/>
        <v>3523</v>
      </c>
      <c r="G298" s="1">
        <f t="shared" si="21"/>
        <v>265000</v>
      </c>
      <c r="H298" s="2">
        <f t="shared" si="22"/>
        <v>81</v>
      </c>
      <c r="I298" s="2">
        <f t="shared" si="23"/>
        <v>0</v>
      </c>
      <c r="J298">
        <f t="shared" si="24"/>
        <v>0</v>
      </c>
    </row>
    <row r="299" spans="1:10" x14ac:dyDescent="0.2">
      <c r="A299" t="s">
        <v>1483</v>
      </c>
      <c r="B299" t="s">
        <v>125</v>
      </c>
      <c r="C299" t="s">
        <v>1484</v>
      </c>
      <c r="D299" t="s">
        <v>542</v>
      </c>
      <c r="E299" t="s">
        <v>1184</v>
      </c>
      <c r="F299" s="2">
        <f t="shared" si="20"/>
        <v>3582</v>
      </c>
      <c r="G299" s="1">
        <f t="shared" si="21"/>
        <v>285000</v>
      </c>
      <c r="H299" s="2">
        <f t="shared" si="22"/>
        <v>81</v>
      </c>
      <c r="I299" s="2">
        <f t="shared" si="23"/>
        <v>0</v>
      </c>
      <c r="J299">
        <f t="shared" si="24"/>
        <v>0</v>
      </c>
    </row>
    <row r="300" spans="1:10" x14ac:dyDescent="0.2">
      <c r="A300" t="s">
        <v>1554</v>
      </c>
      <c r="B300" t="s">
        <v>200</v>
      </c>
      <c r="C300" t="s">
        <v>1555</v>
      </c>
      <c r="D300" t="s">
        <v>132</v>
      </c>
      <c r="E300" t="s">
        <v>38</v>
      </c>
      <c r="F300" s="2">
        <f t="shared" si="20"/>
        <v>3562</v>
      </c>
      <c r="G300" s="1">
        <f t="shared" si="21"/>
        <v>259000</v>
      </c>
      <c r="H300" s="2">
        <f t="shared" si="22"/>
        <v>81</v>
      </c>
      <c r="I300" s="2">
        <f t="shared" si="23"/>
        <v>0</v>
      </c>
      <c r="J300">
        <f t="shared" si="24"/>
        <v>0</v>
      </c>
    </row>
    <row r="301" spans="1:10" x14ac:dyDescent="0.2">
      <c r="A301" t="s">
        <v>2041</v>
      </c>
      <c r="B301" t="s">
        <v>74</v>
      </c>
      <c r="C301" t="s">
        <v>2042</v>
      </c>
      <c r="D301" t="s">
        <v>99</v>
      </c>
      <c r="E301" t="s">
        <v>38</v>
      </c>
      <c r="F301" s="2">
        <f t="shared" si="20"/>
        <v>3551</v>
      </c>
      <c r="G301" s="1">
        <f t="shared" si="21"/>
        <v>300000</v>
      </c>
      <c r="H301" s="2">
        <f t="shared" si="22"/>
        <v>81</v>
      </c>
      <c r="I301" s="2">
        <f t="shared" si="23"/>
        <v>0</v>
      </c>
      <c r="J301">
        <f t="shared" si="24"/>
        <v>0</v>
      </c>
    </row>
    <row r="302" spans="1:10" x14ac:dyDescent="0.2">
      <c r="A302" t="s">
        <v>2085</v>
      </c>
      <c r="B302" t="s">
        <v>306</v>
      </c>
      <c r="C302" t="s">
        <v>2086</v>
      </c>
      <c r="D302" t="s">
        <v>379</v>
      </c>
      <c r="E302" t="s">
        <v>2087</v>
      </c>
      <c r="F302" s="2">
        <f t="shared" si="20"/>
        <v>3543</v>
      </c>
      <c r="G302" s="1">
        <f t="shared" si="21"/>
        <v>275000</v>
      </c>
      <c r="H302" s="2">
        <f t="shared" si="22"/>
        <v>81</v>
      </c>
      <c r="I302" s="2">
        <f t="shared" si="23"/>
        <v>7</v>
      </c>
      <c r="J302">
        <f t="shared" si="24"/>
        <v>142</v>
      </c>
    </row>
    <row r="303" spans="1:10" x14ac:dyDescent="0.2">
      <c r="A303" t="s">
        <v>2241</v>
      </c>
      <c r="B303" t="s">
        <v>148</v>
      </c>
      <c r="C303" t="s">
        <v>2242</v>
      </c>
      <c r="D303" t="s">
        <v>679</v>
      </c>
      <c r="E303" t="s">
        <v>38</v>
      </c>
      <c r="F303" s="2">
        <f t="shared" si="20"/>
        <v>3532</v>
      </c>
      <c r="G303" s="1">
        <f t="shared" si="21"/>
        <v>335000</v>
      </c>
      <c r="H303" s="2">
        <f t="shared" si="22"/>
        <v>81</v>
      </c>
      <c r="I303" s="2">
        <f t="shared" si="23"/>
        <v>0</v>
      </c>
      <c r="J303">
        <f t="shared" si="24"/>
        <v>0</v>
      </c>
    </row>
    <row r="304" spans="1:10" x14ac:dyDescent="0.2">
      <c r="A304" t="s">
        <v>2264</v>
      </c>
      <c r="B304" t="s">
        <v>792</v>
      </c>
      <c r="C304" t="s">
        <v>2265</v>
      </c>
      <c r="D304" t="s">
        <v>1553</v>
      </c>
      <c r="E304" t="s">
        <v>38</v>
      </c>
      <c r="F304" s="2">
        <f t="shared" si="20"/>
        <v>3562</v>
      </c>
      <c r="G304" s="1">
        <f t="shared" si="21"/>
        <v>229500</v>
      </c>
      <c r="H304" s="2">
        <f t="shared" si="22"/>
        <v>81</v>
      </c>
      <c r="I304" s="2">
        <f t="shared" si="23"/>
        <v>0</v>
      </c>
      <c r="J304">
        <f t="shared" si="24"/>
        <v>0</v>
      </c>
    </row>
    <row r="305" spans="1:10" x14ac:dyDescent="0.2">
      <c r="A305" t="s">
        <v>2684</v>
      </c>
      <c r="B305" t="s">
        <v>209</v>
      </c>
      <c r="C305" t="s">
        <v>2685</v>
      </c>
      <c r="D305" t="s">
        <v>830</v>
      </c>
      <c r="E305" t="s">
        <v>2686</v>
      </c>
      <c r="F305" s="2">
        <f t="shared" si="20"/>
        <v>3572</v>
      </c>
      <c r="G305" s="1">
        <f t="shared" si="21"/>
        <v>465000</v>
      </c>
      <c r="H305" s="2">
        <f t="shared" si="22"/>
        <v>81</v>
      </c>
      <c r="I305" s="2">
        <f t="shared" si="23"/>
        <v>7</v>
      </c>
      <c r="J305">
        <f t="shared" si="24"/>
        <v>91</v>
      </c>
    </row>
    <row r="306" spans="1:10" x14ac:dyDescent="0.2">
      <c r="A306" t="s">
        <v>2875</v>
      </c>
      <c r="B306" t="s">
        <v>502</v>
      </c>
      <c r="C306" t="s">
        <v>2876</v>
      </c>
      <c r="D306" t="s">
        <v>430</v>
      </c>
      <c r="E306" t="s">
        <v>2877</v>
      </c>
      <c r="F306" s="2">
        <f t="shared" si="20"/>
        <v>3552</v>
      </c>
      <c r="G306" s="1">
        <f t="shared" si="21"/>
        <v>250000</v>
      </c>
      <c r="H306" s="2">
        <f t="shared" si="22"/>
        <v>81</v>
      </c>
      <c r="I306" s="2">
        <f t="shared" si="23"/>
        <v>7</v>
      </c>
      <c r="J306">
        <f t="shared" si="24"/>
        <v>69</v>
      </c>
    </row>
    <row r="307" spans="1:10" x14ac:dyDescent="0.2">
      <c r="A307" t="s">
        <v>2896</v>
      </c>
      <c r="B307" t="s">
        <v>536</v>
      </c>
      <c r="C307" t="s">
        <v>2897</v>
      </c>
      <c r="D307" t="s">
        <v>117</v>
      </c>
      <c r="E307" t="s">
        <v>38</v>
      </c>
      <c r="F307" s="2">
        <f t="shared" si="20"/>
        <v>3584</v>
      </c>
      <c r="G307" s="1">
        <f t="shared" si="21"/>
        <v>269000</v>
      </c>
      <c r="H307" s="2">
        <f t="shared" si="22"/>
        <v>81</v>
      </c>
      <c r="I307" s="2">
        <f t="shared" si="23"/>
        <v>0</v>
      </c>
      <c r="J307">
        <f t="shared" si="24"/>
        <v>0</v>
      </c>
    </row>
    <row r="308" spans="1:10" x14ac:dyDescent="0.2">
      <c r="A308" t="s">
        <v>908</v>
      </c>
      <c r="B308" t="s">
        <v>316</v>
      </c>
      <c r="C308" t="s">
        <v>909</v>
      </c>
      <c r="D308" t="s">
        <v>379</v>
      </c>
      <c r="E308" t="s">
        <v>910</v>
      </c>
      <c r="F308" s="2">
        <f t="shared" si="20"/>
        <v>3524</v>
      </c>
      <c r="G308" s="1">
        <f t="shared" si="21"/>
        <v>275000</v>
      </c>
      <c r="H308" s="2">
        <f t="shared" si="22"/>
        <v>82</v>
      </c>
      <c r="I308" s="2">
        <f t="shared" si="23"/>
        <v>7</v>
      </c>
      <c r="J308">
        <f t="shared" si="24"/>
        <v>113</v>
      </c>
    </row>
    <row r="309" spans="1:10" x14ac:dyDescent="0.2">
      <c r="A309" t="s">
        <v>1025</v>
      </c>
      <c r="B309" t="s">
        <v>736</v>
      </c>
      <c r="C309" t="s">
        <v>1026</v>
      </c>
      <c r="D309" t="s">
        <v>108</v>
      </c>
      <c r="E309" t="s">
        <v>1027</v>
      </c>
      <c r="F309" s="2">
        <f t="shared" si="20"/>
        <v>3572</v>
      </c>
      <c r="G309" s="1">
        <f t="shared" si="21"/>
        <v>350000</v>
      </c>
      <c r="H309" s="2">
        <f t="shared" si="22"/>
        <v>82</v>
      </c>
      <c r="I309" s="2">
        <f t="shared" si="23"/>
        <v>7</v>
      </c>
      <c r="J309">
        <f t="shared" si="24"/>
        <v>63</v>
      </c>
    </row>
    <row r="310" spans="1:10" x14ac:dyDescent="0.2">
      <c r="A310" t="s">
        <v>1192</v>
      </c>
      <c r="B310" t="s">
        <v>204</v>
      </c>
      <c r="C310" t="s">
        <v>1193</v>
      </c>
      <c r="D310" t="s">
        <v>741</v>
      </c>
      <c r="E310" t="s">
        <v>1194</v>
      </c>
      <c r="F310" s="2">
        <f t="shared" si="20"/>
        <v>3527</v>
      </c>
      <c r="G310" s="1">
        <f t="shared" si="21"/>
        <v>235000</v>
      </c>
      <c r="H310" s="2">
        <f t="shared" si="22"/>
        <v>82</v>
      </c>
      <c r="I310" s="2">
        <f t="shared" si="23"/>
        <v>0</v>
      </c>
      <c r="J310">
        <f t="shared" si="24"/>
        <v>0</v>
      </c>
    </row>
    <row r="311" spans="1:10" x14ac:dyDescent="0.2">
      <c r="A311" t="s">
        <v>1198</v>
      </c>
      <c r="B311" t="s">
        <v>162</v>
      </c>
      <c r="C311" t="s">
        <v>1199</v>
      </c>
      <c r="D311" t="s">
        <v>1200</v>
      </c>
      <c r="E311" t="s">
        <v>1201</v>
      </c>
      <c r="F311" s="2">
        <f t="shared" si="20"/>
        <v>3554</v>
      </c>
      <c r="G311" s="1">
        <f t="shared" si="21"/>
        <v>227500</v>
      </c>
      <c r="H311" s="2">
        <f t="shared" si="22"/>
        <v>82</v>
      </c>
      <c r="I311" s="2">
        <f t="shared" si="23"/>
        <v>0</v>
      </c>
      <c r="J311">
        <f t="shared" si="24"/>
        <v>0</v>
      </c>
    </row>
    <row r="312" spans="1:10" x14ac:dyDescent="0.2">
      <c r="A312" t="s">
        <v>1207</v>
      </c>
      <c r="B312" t="s">
        <v>45</v>
      </c>
      <c r="C312" t="s">
        <v>1208</v>
      </c>
      <c r="D312" t="s">
        <v>741</v>
      </c>
      <c r="E312" t="s">
        <v>1209</v>
      </c>
      <c r="F312" s="2">
        <f t="shared" si="20"/>
        <v>3523</v>
      </c>
      <c r="G312" s="1">
        <f t="shared" si="21"/>
        <v>235000</v>
      </c>
      <c r="H312" s="2">
        <f t="shared" si="22"/>
        <v>82</v>
      </c>
      <c r="I312" s="2">
        <f t="shared" si="23"/>
        <v>0</v>
      </c>
      <c r="J312">
        <f t="shared" si="24"/>
        <v>0</v>
      </c>
    </row>
    <row r="313" spans="1:10" x14ac:dyDescent="0.2">
      <c r="A313" t="s">
        <v>2675</v>
      </c>
      <c r="B313" t="s">
        <v>55</v>
      </c>
      <c r="C313" t="s">
        <v>2676</v>
      </c>
      <c r="D313" t="s">
        <v>688</v>
      </c>
      <c r="E313" t="s">
        <v>2677</v>
      </c>
      <c r="F313" s="2">
        <f t="shared" si="20"/>
        <v>3581</v>
      </c>
      <c r="G313" s="1">
        <f t="shared" si="21"/>
        <v>345000</v>
      </c>
      <c r="H313" s="2">
        <f t="shared" si="22"/>
        <v>82</v>
      </c>
      <c r="I313" s="2">
        <f t="shared" si="23"/>
        <v>7</v>
      </c>
      <c r="J313">
        <f t="shared" si="24"/>
        <v>61</v>
      </c>
    </row>
    <row r="314" spans="1:10" x14ac:dyDescent="0.2">
      <c r="A314" t="s">
        <v>2806</v>
      </c>
      <c r="B314" t="s">
        <v>79</v>
      </c>
      <c r="C314" t="s">
        <v>2807</v>
      </c>
      <c r="D314" t="s">
        <v>401</v>
      </c>
      <c r="E314" t="s">
        <v>1201</v>
      </c>
      <c r="F314" s="2">
        <f t="shared" si="20"/>
        <v>3531</v>
      </c>
      <c r="G314" s="1">
        <f t="shared" si="21"/>
        <v>319000</v>
      </c>
      <c r="H314" s="2">
        <f t="shared" si="22"/>
        <v>82</v>
      </c>
      <c r="I314" s="2">
        <f t="shared" si="23"/>
        <v>0</v>
      </c>
      <c r="J314">
        <f t="shared" si="24"/>
        <v>0</v>
      </c>
    </row>
    <row r="315" spans="1:10" x14ac:dyDescent="0.2">
      <c r="A315" t="s">
        <v>2808</v>
      </c>
      <c r="B315" t="s">
        <v>575</v>
      </c>
      <c r="C315" t="s">
        <v>2809</v>
      </c>
      <c r="D315" t="s">
        <v>839</v>
      </c>
      <c r="E315" t="s">
        <v>1194</v>
      </c>
      <c r="F315" s="2">
        <f t="shared" si="20"/>
        <v>3515</v>
      </c>
      <c r="G315" s="1">
        <f t="shared" si="21"/>
        <v>299000</v>
      </c>
      <c r="H315" s="2">
        <f t="shared" si="22"/>
        <v>82</v>
      </c>
      <c r="I315" s="2">
        <f t="shared" si="23"/>
        <v>0</v>
      </c>
      <c r="J315">
        <f t="shared" si="24"/>
        <v>0</v>
      </c>
    </row>
    <row r="316" spans="1:10" x14ac:dyDescent="0.2">
      <c r="A316" t="s">
        <v>540</v>
      </c>
      <c r="B316" t="s">
        <v>162</v>
      </c>
      <c r="C316" t="s">
        <v>541</v>
      </c>
      <c r="D316" t="s">
        <v>542</v>
      </c>
      <c r="E316" t="s">
        <v>543</v>
      </c>
      <c r="F316" s="2">
        <f t="shared" si="20"/>
        <v>3513</v>
      </c>
      <c r="G316" s="1">
        <f t="shared" si="21"/>
        <v>285000</v>
      </c>
      <c r="H316" s="2">
        <f t="shared" si="22"/>
        <v>83</v>
      </c>
      <c r="I316" s="2">
        <f t="shared" si="23"/>
        <v>0</v>
      </c>
      <c r="J316">
        <f t="shared" si="24"/>
        <v>0</v>
      </c>
    </row>
    <row r="317" spans="1:10" x14ac:dyDescent="0.2">
      <c r="A317" t="s">
        <v>667</v>
      </c>
      <c r="B317" t="s">
        <v>417</v>
      </c>
      <c r="C317" t="s">
        <v>668</v>
      </c>
      <c r="D317" t="s">
        <v>108</v>
      </c>
      <c r="E317" t="s">
        <v>669</v>
      </c>
      <c r="F317" s="2">
        <f t="shared" si="20"/>
        <v>3522</v>
      </c>
      <c r="G317" s="1">
        <f t="shared" si="21"/>
        <v>350000</v>
      </c>
      <c r="H317" s="2">
        <f t="shared" si="22"/>
        <v>83</v>
      </c>
      <c r="I317" s="2">
        <f t="shared" si="23"/>
        <v>7</v>
      </c>
      <c r="J317">
        <f t="shared" si="24"/>
        <v>185</v>
      </c>
    </row>
    <row r="318" spans="1:10" x14ac:dyDescent="0.2">
      <c r="A318" t="s">
        <v>810</v>
      </c>
      <c r="B318" t="s">
        <v>306</v>
      </c>
      <c r="C318" t="s">
        <v>811</v>
      </c>
      <c r="D318" t="s">
        <v>679</v>
      </c>
      <c r="E318" t="s">
        <v>812</v>
      </c>
      <c r="F318" s="2">
        <f t="shared" si="20"/>
        <v>3582</v>
      </c>
      <c r="G318" s="1">
        <f t="shared" si="21"/>
        <v>335000</v>
      </c>
      <c r="H318" s="2">
        <f t="shared" si="22"/>
        <v>83</v>
      </c>
      <c r="I318" s="2">
        <f t="shared" si="23"/>
        <v>7</v>
      </c>
      <c r="J318">
        <f t="shared" si="24"/>
        <v>65</v>
      </c>
    </row>
    <row r="319" spans="1:10" x14ac:dyDescent="0.2">
      <c r="A319" t="s">
        <v>1106</v>
      </c>
      <c r="B319" t="s">
        <v>148</v>
      </c>
      <c r="C319" t="s">
        <v>1107</v>
      </c>
      <c r="D319" t="s">
        <v>37</v>
      </c>
      <c r="E319" t="s">
        <v>1108</v>
      </c>
      <c r="F319" s="2">
        <f t="shared" si="20"/>
        <v>3581</v>
      </c>
      <c r="G319" s="1">
        <f t="shared" si="21"/>
        <v>375000</v>
      </c>
      <c r="H319" s="2">
        <f t="shared" si="22"/>
        <v>83</v>
      </c>
      <c r="I319" s="2">
        <f t="shared" si="23"/>
        <v>7</v>
      </c>
      <c r="J319">
        <f t="shared" si="24"/>
        <v>44</v>
      </c>
    </row>
    <row r="320" spans="1:10" x14ac:dyDescent="0.2">
      <c r="A320" t="s">
        <v>1213</v>
      </c>
      <c r="B320" t="s">
        <v>316</v>
      </c>
      <c r="C320" t="s">
        <v>1214</v>
      </c>
      <c r="D320" t="s">
        <v>747</v>
      </c>
      <c r="E320" t="s">
        <v>1215</v>
      </c>
      <c r="F320" s="2">
        <f t="shared" si="20"/>
        <v>3533</v>
      </c>
      <c r="G320" s="1">
        <f t="shared" si="21"/>
        <v>180000</v>
      </c>
      <c r="H320" s="2">
        <f t="shared" si="22"/>
        <v>83</v>
      </c>
      <c r="I320" s="2">
        <f t="shared" si="23"/>
        <v>0</v>
      </c>
      <c r="J320">
        <f t="shared" si="24"/>
        <v>0</v>
      </c>
    </row>
    <row r="321" spans="1:10" x14ac:dyDescent="0.2">
      <c r="A321" t="s">
        <v>1246</v>
      </c>
      <c r="B321" t="s">
        <v>355</v>
      </c>
      <c r="C321" t="s">
        <v>1247</v>
      </c>
      <c r="D321" t="s">
        <v>379</v>
      </c>
      <c r="E321" t="s">
        <v>1248</v>
      </c>
      <c r="F321" s="2">
        <f t="shared" si="20"/>
        <v>3531</v>
      </c>
      <c r="G321" s="1">
        <f t="shared" si="21"/>
        <v>275000</v>
      </c>
      <c r="H321" s="2">
        <f t="shared" si="22"/>
        <v>83</v>
      </c>
      <c r="I321" s="2">
        <f t="shared" si="23"/>
        <v>0</v>
      </c>
      <c r="J321">
        <f t="shared" si="24"/>
        <v>0</v>
      </c>
    </row>
    <row r="322" spans="1:10" x14ac:dyDescent="0.2">
      <c r="A322" t="s">
        <v>1300</v>
      </c>
      <c r="B322" t="s">
        <v>552</v>
      </c>
      <c r="C322" t="s">
        <v>1301</v>
      </c>
      <c r="D322" t="s">
        <v>99</v>
      </c>
      <c r="E322" t="s">
        <v>1215</v>
      </c>
      <c r="F322" s="2">
        <f t="shared" ref="F322:F385" si="25">VALUE(LEFT(RIGHT(C322,15),4))</f>
        <v>3554</v>
      </c>
      <c r="G322" s="1">
        <f t="shared" ref="G322:G385" si="26">VALUE(MID(D322,3,FIND(" ",D322,3)-3))</f>
        <v>300000</v>
      </c>
      <c r="H322" s="2">
        <f t="shared" ref="H322:H385" si="27">VALUE(LEFT(E322,FIND(" ",E322,1)-1))</f>
        <v>83</v>
      </c>
      <c r="I322" s="2">
        <f t="shared" ref="I322:I385" si="28">IFERROR(FIND("/",E322,1),0)</f>
        <v>0</v>
      </c>
      <c r="J322">
        <f t="shared" ref="J322:J385" si="29">IF(I322=0,0,VALUE(MID(E322,FIND("/",E322,1)+2,(FIND(" ",E322,FIND("/",E322,1)+2)-(FIND("/",E322,1))-1))))</f>
        <v>0</v>
      </c>
    </row>
    <row r="323" spans="1:10" x14ac:dyDescent="0.2">
      <c r="A323" t="s">
        <v>1379</v>
      </c>
      <c r="B323" t="s">
        <v>240</v>
      </c>
      <c r="C323" t="s">
        <v>1380</v>
      </c>
      <c r="D323" t="s">
        <v>57</v>
      </c>
      <c r="E323" t="s">
        <v>543</v>
      </c>
      <c r="F323" s="2">
        <f t="shared" si="25"/>
        <v>3527</v>
      </c>
      <c r="G323" s="1">
        <f t="shared" si="26"/>
        <v>225000</v>
      </c>
      <c r="H323" s="2">
        <f t="shared" si="27"/>
        <v>83</v>
      </c>
      <c r="I323" s="2">
        <f t="shared" si="28"/>
        <v>0</v>
      </c>
      <c r="J323">
        <f t="shared" si="29"/>
        <v>0</v>
      </c>
    </row>
    <row r="324" spans="1:10" x14ac:dyDescent="0.2">
      <c r="A324" t="s">
        <v>1464</v>
      </c>
      <c r="B324" t="s">
        <v>560</v>
      </c>
      <c r="C324" t="s">
        <v>1465</v>
      </c>
      <c r="D324" t="s">
        <v>379</v>
      </c>
      <c r="E324" t="s">
        <v>1466</v>
      </c>
      <c r="F324" s="2">
        <f t="shared" si="25"/>
        <v>3555</v>
      </c>
      <c r="G324" s="1">
        <f t="shared" si="26"/>
        <v>275000</v>
      </c>
      <c r="H324" s="2">
        <f t="shared" si="27"/>
        <v>83</v>
      </c>
      <c r="I324" s="2">
        <f t="shared" si="28"/>
        <v>7</v>
      </c>
      <c r="J324">
        <f t="shared" si="29"/>
        <v>121</v>
      </c>
    </row>
    <row r="325" spans="1:10" x14ac:dyDescent="0.2">
      <c r="A325" t="s">
        <v>1831</v>
      </c>
      <c r="B325" t="s">
        <v>157</v>
      </c>
      <c r="C325" t="s">
        <v>1832</v>
      </c>
      <c r="D325" t="s">
        <v>430</v>
      </c>
      <c r="E325" t="s">
        <v>543</v>
      </c>
      <c r="F325" s="2">
        <f t="shared" si="25"/>
        <v>3523</v>
      </c>
      <c r="G325" s="1">
        <f t="shared" si="26"/>
        <v>250000</v>
      </c>
      <c r="H325" s="2">
        <f t="shared" si="27"/>
        <v>83</v>
      </c>
      <c r="I325" s="2">
        <f t="shared" si="28"/>
        <v>0</v>
      </c>
      <c r="J325">
        <f t="shared" si="29"/>
        <v>0</v>
      </c>
    </row>
    <row r="326" spans="1:10" x14ac:dyDescent="0.2">
      <c r="A326" t="s">
        <v>2121</v>
      </c>
      <c r="B326" t="s">
        <v>294</v>
      </c>
      <c r="C326" t="s">
        <v>2122</v>
      </c>
      <c r="D326" t="s">
        <v>57</v>
      </c>
      <c r="E326" t="s">
        <v>543</v>
      </c>
      <c r="F326" s="2">
        <f t="shared" si="25"/>
        <v>3527</v>
      </c>
      <c r="G326" s="1">
        <f t="shared" si="26"/>
        <v>225000</v>
      </c>
      <c r="H326" s="2">
        <f t="shared" si="27"/>
        <v>83</v>
      </c>
      <c r="I326" s="2">
        <f t="shared" si="28"/>
        <v>0</v>
      </c>
      <c r="J326">
        <f t="shared" si="29"/>
        <v>0</v>
      </c>
    </row>
    <row r="327" spans="1:10" x14ac:dyDescent="0.2">
      <c r="A327" t="s">
        <v>2880</v>
      </c>
      <c r="B327" t="s">
        <v>162</v>
      </c>
      <c r="C327" t="s">
        <v>2881</v>
      </c>
      <c r="D327" t="s">
        <v>391</v>
      </c>
      <c r="E327" t="s">
        <v>1248</v>
      </c>
      <c r="F327" s="2">
        <f t="shared" si="25"/>
        <v>3552</v>
      </c>
      <c r="G327" s="1">
        <f t="shared" si="26"/>
        <v>234500</v>
      </c>
      <c r="H327" s="2">
        <f t="shared" si="27"/>
        <v>83</v>
      </c>
      <c r="I327" s="2">
        <f t="shared" si="28"/>
        <v>0</v>
      </c>
      <c r="J327">
        <f t="shared" si="29"/>
        <v>0</v>
      </c>
    </row>
    <row r="328" spans="1:10" x14ac:dyDescent="0.2">
      <c r="A328" t="s">
        <v>268</v>
      </c>
      <c r="B328" t="s">
        <v>115</v>
      </c>
      <c r="C328" t="s">
        <v>269</v>
      </c>
      <c r="D328" t="s">
        <v>270</v>
      </c>
      <c r="E328" t="s">
        <v>271</v>
      </c>
      <c r="F328" s="2">
        <f t="shared" si="25"/>
        <v>3522</v>
      </c>
      <c r="G328" s="1">
        <f t="shared" si="26"/>
        <v>419000</v>
      </c>
      <c r="H328" s="2">
        <f t="shared" si="27"/>
        <v>84</v>
      </c>
      <c r="I328" s="2">
        <f t="shared" si="28"/>
        <v>7</v>
      </c>
      <c r="J328">
        <f t="shared" si="29"/>
        <v>107</v>
      </c>
    </row>
    <row r="329" spans="1:10" x14ac:dyDescent="0.2">
      <c r="A329" t="s">
        <v>393</v>
      </c>
      <c r="B329" t="s">
        <v>35</v>
      </c>
      <c r="C329" t="s">
        <v>394</v>
      </c>
      <c r="D329" t="s">
        <v>395</v>
      </c>
      <c r="E329" t="s">
        <v>396</v>
      </c>
      <c r="F329" s="2">
        <f t="shared" si="25"/>
        <v>3533</v>
      </c>
      <c r="G329" s="1">
        <f t="shared" si="26"/>
        <v>295000</v>
      </c>
      <c r="H329" s="2">
        <f t="shared" si="27"/>
        <v>84</v>
      </c>
      <c r="I329" s="2">
        <f t="shared" si="28"/>
        <v>0</v>
      </c>
      <c r="J329">
        <f t="shared" si="29"/>
        <v>0</v>
      </c>
    </row>
    <row r="330" spans="1:10" x14ac:dyDescent="0.2">
      <c r="A330" t="s">
        <v>848</v>
      </c>
      <c r="B330" t="s">
        <v>451</v>
      </c>
      <c r="C330" t="s">
        <v>849</v>
      </c>
      <c r="D330" t="s">
        <v>52</v>
      </c>
      <c r="E330" t="s">
        <v>850</v>
      </c>
      <c r="F330" s="2">
        <f t="shared" si="25"/>
        <v>3513</v>
      </c>
      <c r="G330" s="1">
        <f t="shared" si="26"/>
        <v>325000</v>
      </c>
      <c r="H330" s="2">
        <f t="shared" si="27"/>
        <v>84</v>
      </c>
      <c r="I330" s="2">
        <f t="shared" si="28"/>
        <v>7</v>
      </c>
      <c r="J330">
        <f t="shared" si="29"/>
        <v>47</v>
      </c>
    </row>
    <row r="331" spans="1:10" x14ac:dyDescent="0.2">
      <c r="A331" t="s">
        <v>884</v>
      </c>
      <c r="B331" t="s">
        <v>187</v>
      </c>
      <c r="C331" t="s">
        <v>885</v>
      </c>
      <c r="D331" t="s">
        <v>379</v>
      </c>
      <c r="E331" t="s">
        <v>886</v>
      </c>
      <c r="F331" s="2">
        <f t="shared" si="25"/>
        <v>3513</v>
      </c>
      <c r="G331" s="1">
        <f t="shared" si="26"/>
        <v>275000</v>
      </c>
      <c r="H331" s="2">
        <f t="shared" si="27"/>
        <v>84</v>
      </c>
      <c r="I331" s="2">
        <f t="shared" si="28"/>
        <v>0</v>
      </c>
      <c r="J331">
        <f t="shared" si="29"/>
        <v>0</v>
      </c>
    </row>
    <row r="332" spans="1:10" x14ac:dyDescent="0.2">
      <c r="A332" t="s">
        <v>1954</v>
      </c>
      <c r="B332" t="s">
        <v>536</v>
      </c>
      <c r="C332" t="s">
        <v>1955</v>
      </c>
      <c r="D332" t="s">
        <v>379</v>
      </c>
      <c r="E332" t="s">
        <v>886</v>
      </c>
      <c r="F332" s="2">
        <f t="shared" si="25"/>
        <v>3572</v>
      </c>
      <c r="G332" s="1">
        <f t="shared" si="26"/>
        <v>275000</v>
      </c>
      <c r="H332" s="2">
        <f t="shared" si="27"/>
        <v>84</v>
      </c>
      <c r="I332" s="2">
        <f t="shared" si="28"/>
        <v>0</v>
      </c>
      <c r="J332">
        <f t="shared" si="29"/>
        <v>0</v>
      </c>
    </row>
    <row r="333" spans="1:10" x14ac:dyDescent="0.2">
      <c r="A333" t="s">
        <v>1985</v>
      </c>
      <c r="B333" t="s">
        <v>451</v>
      </c>
      <c r="C333" t="s">
        <v>1986</v>
      </c>
      <c r="D333" t="s">
        <v>42</v>
      </c>
      <c r="E333" t="s">
        <v>1987</v>
      </c>
      <c r="F333" s="2">
        <f t="shared" si="25"/>
        <v>3582</v>
      </c>
      <c r="G333" s="1">
        <f t="shared" si="26"/>
        <v>550000</v>
      </c>
      <c r="H333" s="2">
        <f t="shared" si="27"/>
        <v>84</v>
      </c>
      <c r="I333" s="2">
        <f t="shared" si="28"/>
        <v>7</v>
      </c>
      <c r="J333">
        <f t="shared" si="29"/>
        <v>430</v>
      </c>
    </row>
    <row r="334" spans="1:10" x14ac:dyDescent="0.2">
      <c r="A334" t="s">
        <v>2166</v>
      </c>
      <c r="B334" t="s">
        <v>502</v>
      </c>
      <c r="C334" t="s">
        <v>2167</v>
      </c>
      <c r="D334" t="s">
        <v>569</v>
      </c>
      <c r="E334" t="s">
        <v>396</v>
      </c>
      <c r="F334" s="2">
        <f t="shared" si="25"/>
        <v>3552</v>
      </c>
      <c r="G334" s="1">
        <f t="shared" si="26"/>
        <v>249000</v>
      </c>
      <c r="H334" s="2">
        <f t="shared" si="27"/>
        <v>84</v>
      </c>
      <c r="I334" s="2">
        <f t="shared" si="28"/>
        <v>0</v>
      </c>
      <c r="J334">
        <f t="shared" si="29"/>
        <v>0</v>
      </c>
    </row>
    <row r="335" spans="1:10" x14ac:dyDescent="0.2">
      <c r="A335" t="s">
        <v>2369</v>
      </c>
      <c r="B335" t="s">
        <v>192</v>
      </c>
      <c r="C335" t="s">
        <v>2370</v>
      </c>
      <c r="D335" t="s">
        <v>379</v>
      </c>
      <c r="E335" t="s">
        <v>396</v>
      </c>
      <c r="F335" s="2">
        <f t="shared" si="25"/>
        <v>3584</v>
      </c>
      <c r="G335" s="1">
        <f t="shared" si="26"/>
        <v>275000</v>
      </c>
      <c r="H335" s="2">
        <f t="shared" si="27"/>
        <v>84</v>
      </c>
      <c r="I335" s="2">
        <f t="shared" si="28"/>
        <v>0</v>
      </c>
      <c r="J335">
        <f t="shared" si="29"/>
        <v>0</v>
      </c>
    </row>
    <row r="336" spans="1:10" x14ac:dyDescent="0.2">
      <c r="A336" t="s">
        <v>2699</v>
      </c>
      <c r="B336" t="s">
        <v>102</v>
      </c>
      <c r="C336" t="s">
        <v>2700</v>
      </c>
      <c r="D336" t="s">
        <v>8</v>
      </c>
      <c r="E336" t="s">
        <v>2701</v>
      </c>
      <c r="F336" s="2">
        <f t="shared" si="25"/>
        <v>3581</v>
      </c>
      <c r="G336" s="1">
        <f t="shared" si="26"/>
        <v>399000</v>
      </c>
      <c r="H336" s="2">
        <f t="shared" si="27"/>
        <v>84</v>
      </c>
      <c r="I336" s="2">
        <f t="shared" si="28"/>
        <v>7</v>
      </c>
      <c r="J336">
        <f t="shared" si="29"/>
        <v>59</v>
      </c>
    </row>
    <row r="337" spans="1:10" x14ac:dyDescent="0.2">
      <c r="A337" t="s">
        <v>2913</v>
      </c>
      <c r="B337" t="s">
        <v>166</v>
      </c>
      <c r="C337" t="s">
        <v>2914</v>
      </c>
      <c r="D337" t="s">
        <v>1072</v>
      </c>
      <c r="E337" t="s">
        <v>396</v>
      </c>
      <c r="F337" s="2">
        <f t="shared" si="25"/>
        <v>3572</v>
      </c>
      <c r="G337" s="1">
        <f t="shared" si="26"/>
        <v>405000</v>
      </c>
      <c r="H337" s="2">
        <f t="shared" si="27"/>
        <v>84</v>
      </c>
      <c r="I337" s="2">
        <f t="shared" si="28"/>
        <v>0</v>
      </c>
      <c r="J337">
        <f t="shared" si="29"/>
        <v>0</v>
      </c>
    </row>
    <row r="338" spans="1:10" x14ac:dyDescent="0.2">
      <c r="A338" t="s">
        <v>2920</v>
      </c>
      <c r="B338" t="s">
        <v>552</v>
      </c>
      <c r="C338" t="s">
        <v>2921</v>
      </c>
      <c r="D338" t="s">
        <v>430</v>
      </c>
      <c r="E338" t="s">
        <v>2922</v>
      </c>
      <c r="F338" s="2">
        <f t="shared" si="25"/>
        <v>3552</v>
      </c>
      <c r="G338" s="1">
        <f t="shared" si="26"/>
        <v>250000</v>
      </c>
      <c r="H338" s="2">
        <f t="shared" si="27"/>
        <v>84</v>
      </c>
      <c r="I338" s="2">
        <f t="shared" si="28"/>
        <v>0</v>
      </c>
      <c r="J338">
        <f t="shared" si="29"/>
        <v>0</v>
      </c>
    </row>
    <row r="339" spans="1:10" x14ac:dyDescent="0.2">
      <c r="A339" t="s">
        <v>532</v>
      </c>
      <c r="B339" t="s">
        <v>55</v>
      </c>
      <c r="C339" t="s">
        <v>533</v>
      </c>
      <c r="D339" t="s">
        <v>99</v>
      </c>
      <c r="E339" t="s">
        <v>534</v>
      </c>
      <c r="F339" s="2">
        <f t="shared" si="25"/>
        <v>3534</v>
      </c>
      <c r="G339" s="1">
        <f t="shared" si="26"/>
        <v>300000</v>
      </c>
      <c r="H339" s="2">
        <f t="shared" si="27"/>
        <v>85</v>
      </c>
      <c r="I339" s="2">
        <f t="shared" si="28"/>
        <v>7</v>
      </c>
      <c r="J339">
        <f t="shared" si="29"/>
        <v>108</v>
      </c>
    </row>
    <row r="340" spans="1:10" x14ac:dyDescent="0.2">
      <c r="A340" t="s">
        <v>921</v>
      </c>
      <c r="B340" t="s">
        <v>21</v>
      </c>
      <c r="C340" t="s">
        <v>922</v>
      </c>
      <c r="D340" t="s">
        <v>923</v>
      </c>
      <c r="E340" t="s">
        <v>924</v>
      </c>
      <c r="F340" s="2">
        <f t="shared" si="25"/>
        <v>3563</v>
      </c>
      <c r="G340" s="1">
        <f t="shared" si="26"/>
        <v>398000</v>
      </c>
      <c r="H340" s="2">
        <f t="shared" si="27"/>
        <v>85</v>
      </c>
      <c r="I340" s="2">
        <f t="shared" si="28"/>
        <v>0</v>
      </c>
      <c r="J340">
        <f t="shared" si="29"/>
        <v>0</v>
      </c>
    </row>
    <row r="341" spans="1:10" x14ac:dyDescent="0.2">
      <c r="A341" t="s">
        <v>1270</v>
      </c>
      <c r="B341" t="s">
        <v>833</v>
      </c>
      <c r="C341" t="s">
        <v>1271</v>
      </c>
      <c r="D341" t="s">
        <v>57</v>
      </c>
      <c r="E341" t="s">
        <v>1272</v>
      </c>
      <c r="F341" s="2">
        <f t="shared" si="25"/>
        <v>3561</v>
      </c>
      <c r="G341" s="1">
        <f t="shared" si="26"/>
        <v>225000</v>
      </c>
      <c r="H341" s="2">
        <f t="shared" si="27"/>
        <v>85</v>
      </c>
      <c r="I341" s="2">
        <f t="shared" si="28"/>
        <v>7</v>
      </c>
      <c r="J341">
        <f t="shared" si="29"/>
        <v>183</v>
      </c>
    </row>
    <row r="342" spans="1:10" x14ac:dyDescent="0.2">
      <c r="A342" t="s">
        <v>1437</v>
      </c>
      <c r="B342" t="s">
        <v>35</v>
      </c>
      <c r="C342" t="s">
        <v>1438</v>
      </c>
      <c r="D342" t="s">
        <v>194</v>
      </c>
      <c r="E342" t="s">
        <v>924</v>
      </c>
      <c r="F342" s="2">
        <f t="shared" si="25"/>
        <v>3512</v>
      </c>
      <c r="G342" s="1">
        <f t="shared" si="26"/>
        <v>400000</v>
      </c>
      <c r="H342" s="2">
        <f t="shared" si="27"/>
        <v>85</v>
      </c>
      <c r="I342" s="2">
        <f t="shared" si="28"/>
        <v>0</v>
      </c>
      <c r="J342">
        <f t="shared" si="29"/>
        <v>0</v>
      </c>
    </row>
    <row r="343" spans="1:10" x14ac:dyDescent="0.2">
      <c r="A343" t="s">
        <v>2082</v>
      </c>
      <c r="B343" t="s">
        <v>502</v>
      </c>
      <c r="C343" t="s">
        <v>2083</v>
      </c>
      <c r="D343" t="s">
        <v>159</v>
      </c>
      <c r="E343" t="s">
        <v>2084</v>
      </c>
      <c r="F343" s="2">
        <f t="shared" si="25"/>
        <v>3514</v>
      </c>
      <c r="G343" s="1">
        <f t="shared" si="26"/>
        <v>425000</v>
      </c>
      <c r="H343" s="2">
        <f t="shared" si="27"/>
        <v>85</v>
      </c>
      <c r="I343" s="2">
        <f t="shared" si="28"/>
        <v>7</v>
      </c>
      <c r="J343">
        <f t="shared" si="29"/>
        <v>101</v>
      </c>
    </row>
    <row r="344" spans="1:10" x14ac:dyDescent="0.2">
      <c r="A344" t="s">
        <v>2344</v>
      </c>
      <c r="B344" t="s">
        <v>175</v>
      </c>
      <c r="C344" t="s">
        <v>2345</v>
      </c>
      <c r="D344" t="s">
        <v>379</v>
      </c>
      <c r="E344" t="s">
        <v>924</v>
      </c>
      <c r="F344" s="2">
        <f t="shared" si="25"/>
        <v>3524</v>
      </c>
      <c r="G344" s="1">
        <f t="shared" si="26"/>
        <v>275000</v>
      </c>
      <c r="H344" s="2">
        <f t="shared" si="27"/>
        <v>85</v>
      </c>
      <c r="I344" s="2">
        <f t="shared" si="28"/>
        <v>0</v>
      </c>
      <c r="J344">
        <f t="shared" si="29"/>
        <v>0</v>
      </c>
    </row>
    <row r="345" spans="1:10" x14ac:dyDescent="0.2">
      <c r="A345" t="s">
        <v>2767</v>
      </c>
      <c r="B345" t="s">
        <v>736</v>
      </c>
      <c r="C345" t="s">
        <v>2768</v>
      </c>
      <c r="D345" t="s">
        <v>194</v>
      </c>
      <c r="E345" t="s">
        <v>924</v>
      </c>
      <c r="F345" s="2">
        <f t="shared" si="25"/>
        <v>3514</v>
      </c>
      <c r="G345" s="1">
        <f t="shared" si="26"/>
        <v>400000</v>
      </c>
      <c r="H345" s="2">
        <f t="shared" si="27"/>
        <v>85</v>
      </c>
      <c r="I345" s="2">
        <f t="shared" si="28"/>
        <v>0</v>
      </c>
      <c r="J345">
        <f t="shared" si="29"/>
        <v>0</v>
      </c>
    </row>
    <row r="346" spans="1:10" x14ac:dyDescent="0.2">
      <c r="A346" t="s">
        <v>2775</v>
      </c>
      <c r="B346" t="s">
        <v>350</v>
      </c>
      <c r="C346" t="s">
        <v>2776</v>
      </c>
      <c r="D346" t="s">
        <v>1225</v>
      </c>
      <c r="E346" t="s">
        <v>2777</v>
      </c>
      <c r="F346" s="2">
        <f t="shared" si="25"/>
        <v>3522</v>
      </c>
      <c r="G346" s="1">
        <f t="shared" si="26"/>
        <v>439000</v>
      </c>
      <c r="H346" s="2">
        <f t="shared" si="27"/>
        <v>85</v>
      </c>
      <c r="I346" s="2">
        <f t="shared" si="28"/>
        <v>7</v>
      </c>
      <c r="J346">
        <f t="shared" si="29"/>
        <v>98</v>
      </c>
    </row>
    <row r="347" spans="1:10" x14ac:dyDescent="0.2">
      <c r="A347" t="s">
        <v>156</v>
      </c>
      <c r="B347" t="s">
        <v>157</v>
      </c>
      <c r="C347" t="s">
        <v>158</v>
      </c>
      <c r="D347" t="s">
        <v>159</v>
      </c>
      <c r="E347" t="s">
        <v>160</v>
      </c>
      <c r="F347" s="2">
        <f t="shared" si="25"/>
        <v>3514</v>
      </c>
      <c r="G347" s="1">
        <f t="shared" si="26"/>
        <v>425000</v>
      </c>
      <c r="H347" s="2">
        <f t="shared" si="27"/>
        <v>86</v>
      </c>
      <c r="I347" s="2">
        <f t="shared" si="28"/>
        <v>7</v>
      </c>
      <c r="J347">
        <f t="shared" si="29"/>
        <v>60</v>
      </c>
    </row>
    <row r="348" spans="1:10" x14ac:dyDescent="0.2">
      <c r="A348" t="s">
        <v>779</v>
      </c>
      <c r="B348" t="s">
        <v>342</v>
      </c>
      <c r="C348" t="s">
        <v>780</v>
      </c>
      <c r="D348" t="s">
        <v>460</v>
      </c>
      <c r="E348" t="s">
        <v>781</v>
      </c>
      <c r="F348" s="2">
        <f t="shared" si="25"/>
        <v>3554</v>
      </c>
      <c r="G348" s="1">
        <f t="shared" si="26"/>
        <v>265000</v>
      </c>
      <c r="H348" s="2">
        <f t="shared" si="27"/>
        <v>86</v>
      </c>
      <c r="I348" s="2">
        <f t="shared" si="28"/>
        <v>0</v>
      </c>
      <c r="J348">
        <f t="shared" si="29"/>
        <v>0</v>
      </c>
    </row>
    <row r="349" spans="1:10" x14ac:dyDescent="0.2">
      <c r="A349" t="s">
        <v>857</v>
      </c>
      <c r="B349" t="s">
        <v>55</v>
      </c>
      <c r="C349" t="s">
        <v>858</v>
      </c>
      <c r="D349" t="s">
        <v>37</v>
      </c>
      <c r="E349" t="s">
        <v>859</v>
      </c>
      <c r="F349" s="2">
        <f t="shared" si="25"/>
        <v>3582</v>
      </c>
      <c r="G349" s="1">
        <f t="shared" si="26"/>
        <v>375000</v>
      </c>
      <c r="H349" s="2">
        <f t="shared" si="27"/>
        <v>86</v>
      </c>
      <c r="I349" s="2">
        <f t="shared" si="28"/>
        <v>7</v>
      </c>
      <c r="J349">
        <f t="shared" si="29"/>
        <v>101</v>
      </c>
    </row>
    <row r="350" spans="1:10" x14ac:dyDescent="0.2">
      <c r="A350" t="s">
        <v>993</v>
      </c>
      <c r="B350" t="s">
        <v>485</v>
      </c>
      <c r="C350" t="s">
        <v>994</v>
      </c>
      <c r="D350" t="s">
        <v>542</v>
      </c>
      <c r="E350" t="s">
        <v>781</v>
      </c>
      <c r="F350" s="2">
        <f t="shared" si="25"/>
        <v>3553</v>
      </c>
      <c r="G350" s="1">
        <f t="shared" si="26"/>
        <v>285000</v>
      </c>
      <c r="H350" s="2">
        <f t="shared" si="27"/>
        <v>86</v>
      </c>
      <c r="I350" s="2">
        <f t="shared" si="28"/>
        <v>0</v>
      </c>
      <c r="J350">
        <f t="shared" si="29"/>
        <v>0</v>
      </c>
    </row>
    <row r="351" spans="1:10" x14ac:dyDescent="0.2">
      <c r="A351" t="s">
        <v>1122</v>
      </c>
      <c r="B351" t="s">
        <v>102</v>
      </c>
      <c r="C351" t="s">
        <v>1123</v>
      </c>
      <c r="D351" t="s">
        <v>303</v>
      </c>
      <c r="E351" t="s">
        <v>1124</v>
      </c>
      <c r="F351" s="2">
        <f t="shared" si="25"/>
        <v>3512</v>
      </c>
      <c r="G351" s="1">
        <f t="shared" si="26"/>
        <v>549000</v>
      </c>
      <c r="H351" s="2">
        <f t="shared" si="27"/>
        <v>86</v>
      </c>
      <c r="I351" s="2">
        <f t="shared" si="28"/>
        <v>7</v>
      </c>
      <c r="J351">
        <f t="shared" si="29"/>
        <v>64</v>
      </c>
    </row>
    <row r="352" spans="1:10" x14ac:dyDescent="0.2">
      <c r="A352" t="s">
        <v>1505</v>
      </c>
      <c r="B352" t="s">
        <v>254</v>
      </c>
      <c r="C352" t="s">
        <v>1506</v>
      </c>
      <c r="D352" t="s">
        <v>52</v>
      </c>
      <c r="E352" t="s">
        <v>1507</v>
      </c>
      <c r="F352" s="2">
        <f t="shared" si="25"/>
        <v>3555</v>
      </c>
      <c r="G352" s="1">
        <f t="shared" si="26"/>
        <v>325000</v>
      </c>
      <c r="H352" s="2">
        <f t="shared" si="27"/>
        <v>86</v>
      </c>
      <c r="I352" s="2">
        <f t="shared" si="28"/>
        <v>7</v>
      </c>
      <c r="J352">
        <f t="shared" si="29"/>
        <v>172</v>
      </c>
    </row>
    <row r="353" spans="1:10" x14ac:dyDescent="0.2">
      <c r="A353" t="s">
        <v>1837</v>
      </c>
      <c r="B353" t="s">
        <v>240</v>
      </c>
      <c r="C353" t="s">
        <v>1838</v>
      </c>
      <c r="D353" t="s">
        <v>99</v>
      </c>
      <c r="E353" t="s">
        <v>1839</v>
      </c>
      <c r="F353" s="2">
        <f t="shared" si="25"/>
        <v>3551</v>
      </c>
      <c r="G353" s="1">
        <f t="shared" si="26"/>
        <v>300000</v>
      </c>
      <c r="H353" s="2">
        <f t="shared" si="27"/>
        <v>86</v>
      </c>
      <c r="I353" s="2">
        <f t="shared" si="28"/>
        <v>7</v>
      </c>
      <c r="J353">
        <f t="shared" si="29"/>
        <v>89</v>
      </c>
    </row>
    <row r="354" spans="1:10" x14ac:dyDescent="0.2">
      <c r="A354" t="s">
        <v>2027</v>
      </c>
      <c r="B354" t="s">
        <v>342</v>
      </c>
      <c r="C354" t="s">
        <v>2028</v>
      </c>
      <c r="D354" t="s">
        <v>2029</v>
      </c>
      <c r="E354" t="s">
        <v>781</v>
      </c>
      <c r="F354" s="2">
        <f t="shared" si="25"/>
        <v>3553</v>
      </c>
      <c r="G354" s="1">
        <f t="shared" si="26"/>
        <v>234000</v>
      </c>
      <c r="H354" s="2">
        <f t="shared" si="27"/>
        <v>86</v>
      </c>
      <c r="I354" s="2">
        <f t="shared" si="28"/>
        <v>0</v>
      </c>
      <c r="J354">
        <f t="shared" si="29"/>
        <v>0</v>
      </c>
    </row>
    <row r="355" spans="1:10" x14ac:dyDescent="0.2">
      <c r="A355" t="s">
        <v>1085</v>
      </c>
      <c r="B355" t="s">
        <v>166</v>
      </c>
      <c r="C355" t="s">
        <v>1086</v>
      </c>
      <c r="D355" t="s">
        <v>47</v>
      </c>
      <c r="E355" t="s">
        <v>1087</v>
      </c>
      <c r="F355" s="2">
        <f t="shared" si="25"/>
        <v>3552</v>
      </c>
      <c r="G355" s="1">
        <f t="shared" si="26"/>
        <v>289000</v>
      </c>
      <c r="H355" s="2">
        <f t="shared" si="27"/>
        <v>87</v>
      </c>
      <c r="I355" s="2">
        <f t="shared" si="28"/>
        <v>0</v>
      </c>
      <c r="J355">
        <f t="shared" si="29"/>
        <v>0</v>
      </c>
    </row>
    <row r="356" spans="1:10" x14ac:dyDescent="0.2">
      <c r="A356" t="s">
        <v>1526</v>
      </c>
      <c r="B356" t="s">
        <v>200</v>
      </c>
      <c r="C356" t="s">
        <v>1527</v>
      </c>
      <c r="D356" t="s">
        <v>99</v>
      </c>
      <c r="E356" t="s">
        <v>1528</v>
      </c>
      <c r="F356" s="2">
        <f t="shared" si="25"/>
        <v>3526</v>
      </c>
      <c r="G356" s="1">
        <f t="shared" si="26"/>
        <v>300000</v>
      </c>
      <c r="H356" s="2">
        <f t="shared" si="27"/>
        <v>87</v>
      </c>
      <c r="I356" s="2">
        <f t="shared" si="28"/>
        <v>0</v>
      </c>
      <c r="J356">
        <f t="shared" si="29"/>
        <v>0</v>
      </c>
    </row>
    <row r="357" spans="1:10" x14ac:dyDescent="0.2">
      <c r="A357" t="s">
        <v>1559</v>
      </c>
      <c r="B357" t="s">
        <v>143</v>
      </c>
      <c r="C357" t="s">
        <v>1560</v>
      </c>
      <c r="D357" t="s">
        <v>117</v>
      </c>
      <c r="E357" t="s">
        <v>1561</v>
      </c>
      <c r="F357" s="2">
        <f t="shared" si="25"/>
        <v>3554</v>
      </c>
      <c r="G357" s="1">
        <f t="shared" si="26"/>
        <v>269000</v>
      </c>
      <c r="H357" s="2">
        <f t="shared" si="27"/>
        <v>87</v>
      </c>
      <c r="I357" s="2">
        <f t="shared" si="28"/>
        <v>7</v>
      </c>
      <c r="J357">
        <f t="shared" si="29"/>
        <v>90</v>
      </c>
    </row>
    <row r="358" spans="1:10" x14ac:dyDescent="0.2">
      <c r="A358" t="s">
        <v>1704</v>
      </c>
      <c r="B358" t="s">
        <v>6</v>
      </c>
      <c r="C358" t="s">
        <v>1705</v>
      </c>
      <c r="D358" t="s">
        <v>839</v>
      </c>
      <c r="E358" t="s">
        <v>1706</v>
      </c>
      <c r="F358" s="2">
        <f t="shared" si="25"/>
        <v>3553</v>
      </c>
      <c r="G358" s="1">
        <f t="shared" si="26"/>
        <v>299000</v>
      </c>
      <c r="H358" s="2">
        <f t="shared" si="27"/>
        <v>87</v>
      </c>
      <c r="I358" s="2">
        <f t="shared" si="28"/>
        <v>7</v>
      </c>
      <c r="J358">
        <f t="shared" si="29"/>
        <v>72</v>
      </c>
    </row>
    <row r="359" spans="1:10" x14ac:dyDescent="0.2">
      <c r="A359" t="s">
        <v>1751</v>
      </c>
      <c r="B359" t="s">
        <v>130</v>
      </c>
      <c r="C359" t="s">
        <v>1752</v>
      </c>
      <c r="D359" t="s">
        <v>194</v>
      </c>
      <c r="E359" t="s">
        <v>1528</v>
      </c>
      <c r="F359" s="2">
        <f t="shared" si="25"/>
        <v>3572</v>
      </c>
      <c r="G359" s="1">
        <f t="shared" si="26"/>
        <v>400000</v>
      </c>
      <c r="H359" s="2">
        <f t="shared" si="27"/>
        <v>87</v>
      </c>
      <c r="I359" s="2">
        <f t="shared" si="28"/>
        <v>0</v>
      </c>
      <c r="J359">
        <f t="shared" si="29"/>
        <v>0</v>
      </c>
    </row>
    <row r="360" spans="1:10" x14ac:dyDescent="0.2">
      <c r="A360" t="s">
        <v>1996</v>
      </c>
      <c r="B360" t="s">
        <v>736</v>
      </c>
      <c r="C360" t="s">
        <v>1997</v>
      </c>
      <c r="D360" t="s">
        <v>52</v>
      </c>
      <c r="E360" t="s">
        <v>1998</v>
      </c>
      <c r="F360" s="2">
        <f t="shared" si="25"/>
        <v>3534</v>
      </c>
      <c r="G360" s="1">
        <f t="shared" si="26"/>
        <v>325000</v>
      </c>
      <c r="H360" s="2">
        <f t="shared" si="27"/>
        <v>87</v>
      </c>
      <c r="I360" s="2">
        <f t="shared" si="28"/>
        <v>7</v>
      </c>
      <c r="J360">
        <f t="shared" si="29"/>
        <v>108</v>
      </c>
    </row>
    <row r="361" spans="1:10" x14ac:dyDescent="0.2">
      <c r="A361" t="s">
        <v>2180</v>
      </c>
      <c r="B361" t="s">
        <v>259</v>
      </c>
      <c r="C361" t="s">
        <v>2181</v>
      </c>
      <c r="D361" t="s">
        <v>1117</v>
      </c>
      <c r="E361" t="s">
        <v>2182</v>
      </c>
      <c r="F361" s="2">
        <f t="shared" si="25"/>
        <v>3555</v>
      </c>
      <c r="G361" s="1">
        <f t="shared" si="26"/>
        <v>499000</v>
      </c>
      <c r="H361" s="2">
        <f t="shared" si="27"/>
        <v>87</v>
      </c>
      <c r="I361" s="2">
        <f t="shared" si="28"/>
        <v>7</v>
      </c>
      <c r="J361">
        <f t="shared" si="29"/>
        <v>330</v>
      </c>
    </row>
    <row r="362" spans="1:10" x14ac:dyDescent="0.2">
      <c r="A362" t="s">
        <v>2725</v>
      </c>
      <c r="B362" t="s">
        <v>552</v>
      </c>
      <c r="C362" t="s">
        <v>2726</v>
      </c>
      <c r="D362" t="s">
        <v>47</v>
      </c>
      <c r="E362" t="s">
        <v>2727</v>
      </c>
      <c r="F362" s="2">
        <f t="shared" si="25"/>
        <v>3544</v>
      </c>
      <c r="G362" s="1">
        <f t="shared" si="26"/>
        <v>289000</v>
      </c>
      <c r="H362" s="2">
        <f t="shared" si="27"/>
        <v>87</v>
      </c>
      <c r="I362" s="2">
        <f t="shared" si="28"/>
        <v>7</v>
      </c>
      <c r="J362">
        <f t="shared" si="29"/>
        <v>113</v>
      </c>
    </row>
    <row r="363" spans="1:10" x14ac:dyDescent="0.2">
      <c r="A363" t="s">
        <v>2793</v>
      </c>
      <c r="B363" t="s">
        <v>417</v>
      </c>
      <c r="C363" t="s">
        <v>2794</v>
      </c>
      <c r="D363" t="s">
        <v>542</v>
      </c>
      <c r="E363" t="s">
        <v>2795</v>
      </c>
      <c r="F363" s="2">
        <f t="shared" si="25"/>
        <v>3544</v>
      </c>
      <c r="G363" s="1">
        <f t="shared" si="26"/>
        <v>285000</v>
      </c>
      <c r="H363" s="2">
        <f t="shared" si="27"/>
        <v>87</v>
      </c>
      <c r="I363" s="2">
        <f t="shared" si="28"/>
        <v>7</v>
      </c>
      <c r="J363">
        <f t="shared" si="29"/>
        <v>119</v>
      </c>
    </row>
    <row r="364" spans="1:10" x14ac:dyDescent="0.2">
      <c r="A364" t="s">
        <v>249</v>
      </c>
      <c r="B364" t="s">
        <v>120</v>
      </c>
      <c r="C364" t="s">
        <v>250</v>
      </c>
      <c r="D364" t="s">
        <v>251</v>
      </c>
      <c r="E364" t="s">
        <v>252</v>
      </c>
      <c r="F364" s="2">
        <f t="shared" si="25"/>
        <v>3554</v>
      </c>
      <c r="G364" s="1">
        <f t="shared" si="26"/>
        <v>270000</v>
      </c>
      <c r="H364" s="2">
        <f t="shared" si="27"/>
        <v>88</v>
      </c>
      <c r="I364" s="2">
        <f t="shared" si="28"/>
        <v>0</v>
      </c>
      <c r="J364">
        <f t="shared" si="29"/>
        <v>0</v>
      </c>
    </row>
    <row r="365" spans="1:10" x14ac:dyDescent="0.2">
      <c r="A365" t="s">
        <v>512</v>
      </c>
      <c r="B365" t="s">
        <v>513</v>
      </c>
      <c r="C365" t="s">
        <v>514</v>
      </c>
      <c r="D365" t="s">
        <v>515</v>
      </c>
      <c r="E365" t="s">
        <v>516</v>
      </c>
      <c r="F365" s="2">
        <f t="shared" si="25"/>
        <v>3532</v>
      </c>
      <c r="G365" s="1">
        <f t="shared" si="26"/>
        <v>380000</v>
      </c>
      <c r="H365" s="2">
        <f t="shared" si="27"/>
        <v>88</v>
      </c>
      <c r="I365" s="2">
        <f t="shared" si="28"/>
        <v>7</v>
      </c>
      <c r="J365">
        <f t="shared" si="29"/>
        <v>89</v>
      </c>
    </row>
    <row r="366" spans="1:10" x14ac:dyDescent="0.2">
      <c r="A366" t="s">
        <v>929</v>
      </c>
      <c r="B366" t="s">
        <v>6</v>
      </c>
      <c r="C366" t="s">
        <v>930</v>
      </c>
      <c r="D366" t="s">
        <v>108</v>
      </c>
      <c r="E366" t="s">
        <v>931</v>
      </c>
      <c r="F366" s="2">
        <f t="shared" si="25"/>
        <v>3553</v>
      </c>
      <c r="G366" s="1">
        <f t="shared" si="26"/>
        <v>350000</v>
      </c>
      <c r="H366" s="2">
        <f t="shared" si="27"/>
        <v>88</v>
      </c>
      <c r="I366" s="2">
        <f t="shared" si="28"/>
        <v>7</v>
      </c>
      <c r="J366">
        <f t="shared" si="29"/>
        <v>92</v>
      </c>
    </row>
    <row r="367" spans="1:10" x14ac:dyDescent="0.2">
      <c r="A367" t="s">
        <v>1037</v>
      </c>
      <c r="B367" t="s">
        <v>200</v>
      </c>
      <c r="C367" t="s">
        <v>1038</v>
      </c>
      <c r="D367" t="s">
        <v>974</v>
      </c>
      <c r="E367" t="s">
        <v>1039</v>
      </c>
      <c r="F367" s="2">
        <f t="shared" si="25"/>
        <v>3544</v>
      </c>
      <c r="G367" s="1">
        <f t="shared" si="26"/>
        <v>310000</v>
      </c>
      <c r="H367" s="2">
        <f t="shared" si="27"/>
        <v>88</v>
      </c>
      <c r="I367" s="2">
        <f t="shared" si="28"/>
        <v>7</v>
      </c>
      <c r="J367">
        <f t="shared" si="29"/>
        <v>125</v>
      </c>
    </row>
    <row r="368" spans="1:10" x14ac:dyDescent="0.2">
      <c r="A368" t="s">
        <v>1448</v>
      </c>
      <c r="B368" t="s">
        <v>162</v>
      </c>
      <c r="C368" t="s">
        <v>1449</v>
      </c>
      <c r="D368" t="s">
        <v>379</v>
      </c>
      <c r="E368" t="s">
        <v>252</v>
      </c>
      <c r="F368" s="2">
        <f t="shared" si="25"/>
        <v>3552</v>
      </c>
      <c r="G368" s="1">
        <f t="shared" si="26"/>
        <v>275000</v>
      </c>
      <c r="H368" s="2">
        <f t="shared" si="27"/>
        <v>88</v>
      </c>
      <c r="I368" s="2">
        <f t="shared" si="28"/>
        <v>0</v>
      </c>
      <c r="J368">
        <f t="shared" si="29"/>
        <v>0</v>
      </c>
    </row>
    <row r="369" spans="1:10" x14ac:dyDescent="0.2">
      <c r="A369" t="s">
        <v>1470</v>
      </c>
      <c r="B369" t="s">
        <v>11</v>
      </c>
      <c r="C369" t="s">
        <v>1471</v>
      </c>
      <c r="D369" t="s">
        <v>430</v>
      </c>
      <c r="E369" t="s">
        <v>1472</v>
      </c>
      <c r="F369" s="2">
        <f t="shared" si="25"/>
        <v>3552</v>
      </c>
      <c r="G369" s="1">
        <f t="shared" si="26"/>
        <v>250000</v>
      </c>
      <c r="H369" s="2">
        <f t="shared" si="27"/>
        <v>88</v>
      </c>
      <c r="I369" s="2">
        <f t="shared" si="28"/>
        <v>0</v>
      </c>
      <c r="J369">
        <f t="shared" si="29"/>
        <v>0</v>
      </c>
    </row>
    <row r="370" spans="1:10" x14ac:dyDescent="0.2">
      <c r="A370" t="s">
        <v>1473</v>
      </c>
      <c r="B370" t="s">
        <v>342</v>
      </c>
      <c r="C370" t="s">
        <v>1474</v>
      </c>
      <c r="D370" t="s">
        <v>47</v>
      </c>
      <c r="E370" t="s">
        <v>1475</v>
      </c>
      <c r="F370" s="2">
        <f t="shared" si="25"/>
        <v>3553</v>
      </c>
      <c r="G370" s="1">
        <f t="shared" si="26"/>
        <v>289000</v>
      </c>
      <c r="H370" s="2">
        <f t="shared" si="27"/>
        <v>88</v>
      </c>
      <c r="I370" s="2">
        <f t="shared" si="28"/>
        <v>0</v>
      </c>
      <c r="J370">
        <f t="shared" si="29"/>
        <v>0</v>
      </c>
    </row>
    <row r="371" spans="1:10" x14ac:dyDescent="0.2">
      <c r="A371" t="s">
        <v>1545</v>
      </c>
      <c r="B371" t="s">
        <v>187</v>
      </c>
      <c r="C371" t="s">
        <v>1546</v>
      </c>
      <c r="D371" t="s">
        <v>1547</v>
      </c>
      <c r="E371" t="s">
        <v>1475</v>
      </c>
      <c r="F371" s="2">
        <f t="shared" si="25"/>
        <v>3562</v>
      </c>
      <c r="G371" s="1">
        <f t="shared" si="26"/>
        <v>290000</v>
      </c>
      <c r="H371" s="2">
        <f t="shared" si="27"/>
        <v>88</v>
      </c>
      <c r="I371" s="2">
        <f t="shared" si="28"/>
        <v>0</v>
      </c>
      <c r="J371">
        <f t="shared" si="29"/>
        <v>0</v>
      </c>
    </row>
    <row r="372" spans="1:10" x14ac:dyDescent="0.2">
      <c r="A372" t="s">
        <v>1788</v>
      </c>
      <c r="B372" t="s">
        <v>21</v>
      </c>
      <c r="C372" t="s">
        <v>1789</v>
      </c>
      <c r="D372" t="s">
        <v>251</v>
      </c>
      <c r="E372" t="s">
        <v>252</v>
      </c>
      <c r="F372" s="2">
        <f t="shared" si="25"/>
        <v>3554</v>
      </c>
      <c r="G372" s="1">
        <f t="shared" si="26"/>
        <v>270000</v>
      </c>
      <c r="H372" s="2">
        <f t="shared" si="27"/>
        <v>88</v>
      </c>
      <c r="I372" s="2">
        <f t="shared" si="28"/>
        <v>0</v>
      </c>
      <c r="J372">
        <f t="shared" si="29"/>
        <v>0</v>
      </c>
    </row>
    <row r="373" spans="1:10" x14ac:dyDescent="0.2">
      <c r="A373" t="s">
        <v>1920</v>
      </c>
      <c r="B373" t="s">
        <v>69</v>
      </c>
      <c r="C373" t="s">
        <v>1921</v>
      </c>
      <c r="D373" t="s">
        <v>335</v>
      </c>
      <c r="E373" t="s">
        <v>1475</v>
      </c>
      <c r="F373" s="2">
        <f t="shared" si="25"/>
        <v>3513</v>
      </c>
      <c r="G373" s="1">
        <f t="shared" si="26"/>
        <v>329000</v>
      </c>
      <c r="H373" s="2">
        <f t="shared" si="27"/>
        <v>88</v>
      </c>
      <c r="I373" s="2">
        <f t="shared" si="28"/>
        <v>0</v>
      </c>
      <c r="J373">
        <f t="shared" si="29"/>
        <v>0</v>
      </c>
    </row>
    <row r="374" spans="1:10" x14ac:dyDescent="0.2">
      <c r="A374" t="s">
        <v>1936</v>
      </c>
      <c r="B374" t="s">
        <v>513</v>
      </c>
      <c r="C374" t="s">
        <v>1937</v>
      </c>
      <c r="D374" t="s">
        <v>66</v>
      </c>
      <c r="E374" t="s">
        <v>1938</v>
      </c>
      <c r="F374" s="2">
        <f t="shared" si="25"/>
        <v>3532</v>
      </c>
      <c r="G374" s="1">
        <f t="shared" si="26"/>
        <v>349000</v>
      </c>
      <c r="H374" s="2">
        <f t="shared" si="27"/>
        <v>88</v>
      </c>
      <c r="I374" s="2">
        <f t="shared" si="28"/>
        <v>7</v>
      </c>
      <c r="J374">
        <f t="shared" si="29"/>
        <v>85</v>
      </c>
    </row>
    <row r="375" spans="1:10" x14ac:dyDescent="0.2">
      <c r="A375" t="s">
        <v>1981</v>
      </c>
      <c r="B375" t="s">
        <v>97</v>
      </c>
      <c r="C375" t="s">
        <v>1982</v>
      </c>
      <c r="D375" t="s">
        <v>1983</v>
      </c>
      <c r="E375" t="s">
        <v>1984</v>
      </c>
      <c r="F375" s="2">
        <f t="shared" si="25"/>
        <v>3555</v>
      </c>
      <c r="G375" s="1">
        <f t="shared" si="26"/>
        <v>334500</v>
      </c>
      <c r="H375" s="2">
        <f t="shared" si="27"/>
        <v>88</v>
      </c>
      <c r="I375" s="2">
        <f t="shared" si="28"/>
        <v>7</v>
      </c>
      <c r="J375">
        <f t="shared" si="29"/>
        <v>90</v>
      </c>
    </row>
    <row r="376" spans="1:10" x14ac:dyDescent="0.2">
      <c r="A376" t="s">
        <v>2205</v>
      </c>
      <c r="B376" t="s">
        <v>502</v>
      </c>
      <c r="C376" t="s">
        <v>2206</v>
      </c>
      <c r="D376" t="s">
        <v>2207</v>
      </c>
      <c r="E376" t="s">
        <v>1938</v>
      </c>
      <c r="F376" s="2">
        <f t="shared" si="25"/>
        <v>3554</v>
      </c>
      <c r="G376" s="1">
        <f t="shared" si="26"/>
        <v>297500</v>
      </c>
      <c r="H376" s="2">
        <f t="shared" si="27"/>
        <v>88</v>
      </c>
      <c r="I376" s="2">
        <f t="shared" si="28"/>
        <v>7</v>
      </c>
      <c r="J376">
        <f t="shared" si="29"/>
        <v>85</v>
      </c>
    </row>
    <row r="377" spans="1:10" x14ac:dyDescent="0.2">
      <c r="A377" t="s">
        <v>2598</v>
      </c>
      <c r="B377" t="s">
        <v>166</v>
      </c>
      <c r="C377" t="s">
        <v>2599</v>
      </c>
      <c r="D377" t="s">
        <v>177</v>
      </c>
      <c r="E377" t="s">
        <v>252</v>
      </c>
      <c r="F377" s="2">
        <f t="shared" si="25"/>
        <v>3521</v>
      </c>
      <c r="G377" s="1">
        <f t="shared" si="26"/>
        <v>395000</v>
      </c>
      <c r="H377" s="2">
        <f t="shared" si="27"/>
        <v>88</v>
      </c>
      <c r="I377" s="2">
        <f t="shared" si="28"/>
        <v>0</v>
      </c>
      <c r="J377">
        <f t="shared" si="29"/>
        <v>0</v>
      </c>
    </row>
    <row r="378" spans="1:10" x14ac:dyDescent="0.2">
      <c r="A378" t="s">
        <v>2728</v>
      </c>
      <c r="B378" t="s">
        <v>342</v>
      </c>
      <c r="C378" t="s">
        <v>2729</v>
      </c>
      <c r="D378" t="s">
        <v>2207</v>
      </c>
      <c r="E378" t="s">
        <v>252</v>
      </c>
      <c r="F378" s="2">
        <f t="shared" si="25"/>
        <v>3521</v>
      </c>
      <c r="G378" s="1">
        <f t="shared" si="26"/>
        <v>297500</v>
      </c>
      <c r="H378" s="2">
        <f t="shared" si="27"/>
        <v>88</v>
      </c>
      <c r="I378" s="2">
        <f t="shared" si="28"/>
        <v>0</v>
      </c>
      <c r="J378">
        <f t="shared" si="29"/>
        <v>0</v>
      </c>
    </row>
    <row r="379" spans="1:10" x14ac:dyDescent="0.2">
      <c r="A379" t="s">
        <v>467</v>
      </c>
      <c r="B379" t="s">
        <v>79</v>
      </c>
      <c r="C379" t="s">
        <v>468</v>
      </c>
      <c r="D379" t="s">
        <v>347</v>
      </c>
      <c r="E379" t="s">
        <v>469</v>
      </c>
      <c r="F379" s="2">
        <f t="shared" si="25"/>
        <v>3552</v>
      </c>
      <c r="G379" s="1">
        <f t="shared" si="26"/>
        <v>315000</v>
      </c>
      <c r="H379" s="2">
        <f t="shared" si="27"/>
        <v>89</v>
      </c>
      <c r="I379" s="2">
        <f t="shared" si="28"/>
        <v>7</v>
      </c>
      <c r="J379">
        <f t="shared" si="29"/>
        <v>65</v>
      </c>
    </row>
    <row r="380" spans="1:10" x14ac:dyDescent="0.2">
      <c r="A380" t="s">
        <v>470</v>
      </c>
      <c r="B380" t="s">
        <v>69</v>
      </c>
      <c r="C380" t="s">
        <v>471</v>
      </c>
      <c r="D380" t="s">
        <v>444</v>
      </c>
      <c r="E380" t="s">
        <v>472</v>
      </c>
      <c r="F380" s="2">
        <f t="shared" si="25"/>
        <v>3563</v>
      </c>
      <c r="G380" s="1">
        <f t="shared" si="26"/>
        <v>200000</v>
      </c>
      <c r="H380" s="2">
        <f t="shared" si="27"/>
        <v>89</v>
      </c>
      <c r="I380" s="2">
        <f t="shared" si="28"/>
        <v>0</v>
      </c>
      <c r="J380">
        <f t="shared" si="29"/>
        <v>0</v>
      </c>
    </row>
    <row r="381" spans="1:10" x14ac:dyDescent="0.2">
      <c r="A381" t="s">
        <v>887</v>
      </c>
      <c r="B381" t="s">
        <v>192</v>
      </c>
      <c r="C381" t="s">
        <v>888</v>
      </c>
      <c r="D381" t="s">
        <v>379</v>
      </c>
      <c r="E381" t="s">
        <v>889</v>
      </c>
      <c r="F381" s="2">
        <f t="shared" si="25"/>
        <v>3553</v>
      </c>
      <c r="G381" s="1">
        <f t="shared" si="26"/>
        <v>275000</v>
      </c>
      <c r="H381" s="2">
        <f t="shared" si="27"/>
        <v>89</v>
      </c>
      <c r="I381" s="2">
        <f t="shared" si="28"/>
        <v>7</v>
      </c>
      <c r="J381">
        <f t="shared" si="29"/>
        <v>71</v>
      </c>
    </row>
    <row r="382" spans="1:10" x14ac:dyDescent="0.2">
      <c r="A382" t="s">
        <v>1134</v>
      </c>
      <c r="B382" t="s">
        <v>200</v>
      </c>
      <c r="C382" t="s">
        <v>1135</v>
      </c>
      <c r="D382" t="s">
        <v>741</v>
      </c>
      <c r="E382" t="s">
        <v>1136</v>
      </c>
      <c r="F382" s="2">
        <f t="shared" si="25"/>
        <v>3523</v>
      </c>
      <c r="G382" s="1">
        <f t="shared" si="26"/>
        <v>235000</v>
      </c>
      <c r="H382" s="2">
        <f t="shared" si="27"/>
        <v>89</v>
      </c>
      <c r="I382" s="2">
        <f t="shared" si="28"/>
        <v>0</v>
      </c>
      <c r="J382">
        <f t="shared" si="29"/>
        <v>0</v>
      </c>
    </row>
    <row r="383" spans="1:10" x14ac:dyDescent="0.2">
      <c r="A383" t="s">
        <v>1562</v>
      </c>
      <c r="B383" t="s">
        <v>74</v>
      </c>
      <c r="C383" t="s">
        <v>1563</v>
      </c>
      <c r="D383" t="s">
        <v>117</v>
      </c>
      <c r="E383" t="s">
        <v>1564</v>
      </c>
      <c r="F383" s="2">
        <f t="shared" si="25"/>
        <v>3543</v>
      </c>
      <c r="G383" s="1">
        <f t="shared" si="26"/>
        <v>269000</v>
      </c>
      <c r="H383" s="2">
        <f t="shared" si="27"/>
        <v>89</v>
      </c>
      <c r="I383" s="2">
        <f t="shared" si="28"/>
        <v>0</v>
      </c>
      <c r="J383">
        <f t="shared" si="29"/>
        <v>0</v>
      </c>
    </row>
    <row r="384" spans="1:10" x14ac:dyDescent="0.2">
      <c r="A384" t="s">
        <v>1846</v>
      </c>
      <c r="B384" t="s">
        <v>166</v>
      </c>
      <c r="C384" t="s">
        <v>1847</v>
      </c>
      <c r="D384" t="s">
        <v>1579</v>
      </c>
      <c r="E384" t="s">
        <v>472</v>
      </c>
      <c r="F384" s="2">
        <f t="shared" si="25"/>
        <v>3554</v>
      </c>
      <c r="G384" s="1">
        <f t="shared" si="26"/>
        <v>280000</v>
      </c>
      <c r="H384" s="2">
        <f t="shared" si="27"/>
        <v>89</v>
      </c>
      <c r="I384" s="2">
        <f t="shared" si="28"/>
        <v>0</v>
      </c>
      <c r="J384">
        <f t="shared" si="29"/>
        <v>0</v>
      </c>
    </row>
    <row r="385" spans="1:10" x14ac:dyDescent="0.2">
      <c r="A385" t="s">
        <v>2515</v>
      </c>
      <c r="B385" t="s">
        <v>35</v>
      </c>
      <c r="C385" t="s">
        <v>2516</v>
      </c>
      <c r="D385" t="s">
        <v>542</v>
      </c>
      <c r="E385" t="s">
        <v>2517</v>
      </c>
      <c r="F385" s="2">
        <f t="shared" si="25"/>
        <v>3533</v>
      </c>
      <c r="G385" s="1">
        <f t="shared" si="26"/>
        <v>285000</v>
      </c>
      <c r="H385" s="2">
        <f t="shared" si="27"/>
        <v>89</v>
      </c>
      <c r="I385" s="2">
        <f t="shared" si="28"/>
        <v>0</v>
      </c>
      <c r="J385">
        <f t="shared" si="29"/>
        <v>0</v>
      </c>
    </row>
    <row r="386" spans="1:10" x14ac:dyDescent="0.2">
      <c r="A386" t="s">
        <v>2854</v>
      </c>
      <c r="B386" t="s">
        <v>16</v>
      </c>
      <c r="C386" t="s">
        <v>2855</v>
      </c>
      <c r="D386" t="s">
        <v>2856</v>
      </c>
      <c r="E386" t="s">
        <v>2857</v>
      </c>
      <c r="F386" s="2">
        <f t="shared" ref="F386:F449" si="30">VALUE(LEFT(RIGHT(C386,15),4))</f>
        <v>3511</v>
      </c>
      <c r="G386" s="1">
        <f t="shared" ref="G386:G449" si="31">VALUE(MID(D386,3,FIND(" ",D386,3)-3))</f>
        <v>40000</v>
      </c>
      <c r="H386" s="2">
        <f t="shared" ref="H386:H449" si="32">VALUE(LEFT(E386,FIND(" ",E386,1)-1))</f>
        <v>89</v>
      </c>
      <c r="I386" s="2">
        <f t="shared" ref="I386:I449" si="33">IFERROR(FIND("/",E386,1),0)</f>
        <v>0</v>
      </c>
      <c r="J386">
        <f t="shared" ref="J386:J449" si="34">IF(I386=0,0,VALUE(MID(E386,FIND("/",E386,1)+2,(FIND(" ",E386,FIND("/",E386,1)+2)-(FIND("/",E386,1))-1))))</f>
        <v>0</v>
      </c>
    </row>
    <row r="387" spans="1:10" x14ac:dyDescent="0.2">
      <c r="A387" t="s">
        <v>287</v>
      </c>
      <c r="B387" t="s">
        <v>192</v>
      </c>
      <c r="C387" t="s">
        <v>288</v>
      </c>
      <c r="D387" t="s">
        <v>117</v>
      </c>
      <c r="E387" t="s">
        <v>289</v>
      </c>
      <c r="F387" s="2">
        <f t="shared" si="30"/>
        <v>3532</v>
      </c>
      <c r="G387" s="1">
        <f t="shared" si="31"/>
        <v>269000</v>
      </c>
      <c r="H387" s="2">
        <f t="shared" si="32"/>
        <v>90</v>
      </c>
      <c r="I387" s="2">
        <f t="shared" si="33"/>
        <v>0</v>
      </c>
      <c r="J387">
        <f t="shared" si="34"/>
        <v>0</v>
      </c>
    </row>
    <row r="388" spans="1:10" x14ac:dyDescent="0.2">
      <c r="A388" t="s">
        <v>1243</v>
      </c>
      <c r="B388" t="s">
        <v>377</v>
      </c>
      <c r="C388" t="s">
        <v>1244</v>
      </c>
      <c r="D388" t="s">
        <v>331</v>
      </c>
      <c r="E388" t="s">
        <v>1245</v>
      </c>
      <c r="F388" s="2">
        <f t="shared" si="30"/>
        <v>3511</v>
      </c>
      <c r="G388" s="1">
        <f t="shared" si="31"/>
        <v>389000</v>
      </c>
      <c r="H388" s="2">
        <f t="shared" si="32"/>
        <v>90</v>
      </c>
      <c r="I388" s="2">
        <f t="shared" si="33"/>
        <v>0</v>
      </c>
      <c r="J388">
        <f t="shared" si="34"/>
        <v>0</v>
      </c>
    </row>
    <row r="389" spans="1:10" x14ac:dyDescent="0.2">
      <c r="A389" t="s">
        <v>1347</v>
      </c>
      <c r="B389" t="s">
        <v>575</v>
      </c>
      <c r="C389" t="s">
        <v>1348</v>
      </c>
      <c r="D389" t="s">
        <v>741</v>
      </c>
      <c r="E389" t="s">
        <v>1245</v>
      </c>
      <c r="F389" s="2">
        <f t="shared" si="30"/>
        <v>3533</v>
      </c>
      <c r="G389" s="1">
        <f t="shared" si="31"/>
        <v>235000</v>
      </c>
      <c r="H389" s="2">
        <f t="shared" si="32"/>
        <v>90</v>
      </c>
      <c r="I389" s="2">
        <f t="shared" si="33"/>
        <v>0</v>
      </c>
      <c r="J389">
        <f t="shared" si="34"/>
        <v>0</v>
      </c>
    </row>
    <row r="390" spans="1:10" x14ac:dyDescent="0.2">
      <c r="A390" t="s">
        <v>1735</v>
      </c>
      <c r="B390" t="s">
        <v>45</v>
      </c>
      <c r="C390" t="s">
        <v>1736</v>
      </c>
      <c r="D390" t="s">
        <v>444</v>
      </c>
      <c r="E390" t="s">
        <v>1737</v>
      </c>
      <c r="F390" s="2">
        <f t="shared" si="30"/>
        <v>3562</v>
      </c>
      <c r="G390" s="1">
        <f t="shared" si="31"/>
        <v>200000</v>
      </c>
      <c r="H390" s="2">
        <f t="shared" si="32"/>
        <v>90</v>
      </c>
      <c r="I390" s="2">
        <f t="shared" si="33"/>
        <v>0</v>
      </c>
      <c r="J390">
        <f t="shared" si="34"/>
        <v>0</v>
      </c>
    </row>
    <row r="391" spans="1:10" x14ac:dyDescent="0.2">
      <c r="A391" t="s">
        <v>1865</v>
      </c>
      <c r="B391" t="s">
        <v>502</v>
      </c>
      <c r="C391" t="s">
        <v>1866</v>
      </c>
      <c r="D391" t="s">
        <v>335</v>
      </c>
      <c r="E391" t="s">
        <v>1867</v>
      </c>
      <c r="F391" s="2">
        <f t="shared" si="30"/>
        <v>3551</v>
      </c>
      <c r="G391" s="1">
        <f t="shared" si="31"/>
        <v>329000</v>
      </c>
      <c r="H391" s="2">
        <f t="shared" si="32"/>
        <v>90</v>
      </c>
      <c r="I391" s="2">
        <f t="shared" si="33"/>
        <v>7</v>
      </c>
      <c r="J391">
        <f t="shared" si="34"/>
        <v>97</v>
      </c>
    </row>
    <row r="392" spans="1:10" x14ac:dyDescent="0.2">
      <c r="A392" t="s">
        <v>2097</v>
      </c>
      <c r="B392" t="s">
        <v>792</v>
      </c>
      <c r="C392" t="s">
        <v>2098</v>
      </c>
      <c r="D392" t="s">
        <v>194</v>
      </c>
      <c r="E392" t="s">
        <v>1737</v>
      </c>
      <c r="F392" s="2">
        <f t="shared" si="30"/>
        <v>3513</v>
      </c>
      <c r="G392" s="1">
        <f t="shared" si="31"/>
        <v>400000</v>
      </c>
      <c r="H392" s="2">
        <f t="shared" si="32"/>
        <v>90</v>
      </c>
      <c r="I392" s="2">
        <f t="shared" si="33"/>
        <v>0</v>
      </c>
      <c r="J392">
        <f t="shared" si="34"/>
        <v>0</v>
      </c>
    </row>
    <row r="393" spans="1:10" x14ac:dyDescent="0.2">
      <c r="A393" t="s">
        <v>2957</v>
      </c>
      <c r="B393" t="s">
        <v>192</v>
      </c>
      <c r="C393" t="s">
        <v>2958</v>
      </c>
      <c r="D393" t="s">
        <v>591</v>
      </c>
      <c r="E393" t="s">
        <v>289</v>
      </c>
      <c r="F393" s="2">
        <f t="shared" si="30"/>
        <v>3554</v>
      </c>
      <c r="G393" s="1">
        <f t="shared" si="31"/>
        <v>169000</v>
      </c>
      <c r="H393" s="2">
        <f t="shared" si="32"/>
        <v>90</v>
      </c>
      <c r="I393" s="2">
        <f t="shared" si="33"/>
        <v>0</v>
      </c>
      <c r="J393">
        <f t="shared" si="34"/>
        <v>0</v>
      </c>
    </row>
    <row r="394" spans="1:10" x14ac:dyDescent="0.2">
      <c r="A394" t="s">
        <v>179</v>
      </c>
      <c r="B394" t="s">
        <v>148</v>
      </c>
      <c r="C394" t="s">
        <v>180</v>
      </c>
      <c r="D394" t="s">
        <v>52</v>
      </c>
      <c r="E394" t="s">
        <v>181</v>
      </c>
      <c r="F394" s="2">
        <f t="shared" si="30"/>
        <v>3554</v>
      </c>
      <c r="G394" s="1">
        <f t="shared" si="31"/>
        <v>325000</v>
      </c>
      <c r="H394" s="2">
        <f t="shared" si="32"/>
        <v>91</v>
      </c>
      <c r="I394" s="2">
        <f t="shared" si="33"/>
        <v>7</v>
      </c>
      <c r="J394">
        <f t="shared" si="34"/>
        <v>76</v>
      </c>
    </row>
    <row r="395" spans="1:10" x14ac:dyDescent="0.2">
      <c r="A395" t="s">
        <v>535</v>
      </c>
      <c r="B395" t="s">
        <v>536</v>
      </c>
      <c r="C395" t="s">
        <v>537</v>
      </c>
      <c r="D395" t="s">
        <v>538</v>
      </c>
      <c r="E395" t="s">
        <v>539</v>
      </c>
      <c r="F395" s="2">
        <f t="shared" si="30"/>
        <v>3528</v>
      </c>
      <c r="G395" s="1">
        <f t="shared" si="31"/>
        <v>399000</v>
      </c>
      <c r="H395" s="2">
        <f t="shared" si="32"/>
        <v>91</v>
      </c>
      <c r="I395" s="2">
        <f t="shared" si="33"/>
        <v>0</v>
      </c>
      <c r="J395">
        <f t="shared" si="34"/>
        <v>0</v>
      </c>
    </row>
    <row r="396" spans="1:10" x14ac:dyDescent="0.2">
      <c r="A396" t="s">
        <v>1479</v>
      </c>
      <c r="B396" t="s">
        <v>792</v>
      </c>
      <c r="C396" t="s">
        <v>1480</v>
      </c>
      <c r="D396" t="s">
        <v>13</v>
      </c>
      <c r="E396" t="s">
        <v>539</v>
      </c>
      <c r="F396" s="2">
        <f t="shared" si="30"/>
        <v>3511</v>
      </c>
      <c r="G396" s="1">
        <f t="shared" si="31"/>
        <v>450000</v>
      </c>
      <c r="H396" s="2">
        <f t="shared" si="32"/>
        <v>91</v>
      </c>
      <c r="I396" s="2">
        <f t="shared" si="33"/>
        <v>0</v>
      </c>
      <c r="J396">
        <f t="shared" si="34"/>
        <v>0</v>
      </c>
    </row>
    <row r="397" spans="1:10" x14ac:dyDescent="0.2">
      <c r="A397" t="s">
        <v>2508</v>
      </c>
      <c r="B397" t="s">
        <v>560</v>
      </c>
      <c r="C397" t="s">
        <v>2509</v>
      </c>
      <c r="D397" t="s">
        <v>99</v>
      </c>
      <c r="E397" t="s">
        <v>2510</v>
      </c>
      <c r="F397" s="2">
        <f t="shared" si="30"/>
        <v>3553</v>
      </c>
      <c r="G397" s="1">
        <f t="shared" si="31"/>
        <v>300000</v>
      </c>
      <c r="H397" s="2">
        <f t="shared" si="32"/>
        <v>91</v>
      </c>
      <c r="I397" s="2">
        <f t="shared" si="33"/>
        <v>0</v>
      </c>
      <c r="J397">
        <f t="shared" si="34"/>
        <v>0</v>
      </c>
    </row>
    <row r="398" spans="1:10" x14ac:dyDescent="0.2">
      <c r="A398" t="s">
        <v>477</v>
      </c>
      <c r="B398" t="s">
        <v>264</v>
      </c>
      <c r="C398" t="s">
        <v>478</v>
      </c>
      <c r="D398" t="s">
        <v>13</v>
      </c>
      <c r="E398" t="s">
        <v>479</v>
      </c>
      <c r="F398" s="2">
        <f t="shared" si="30"/>
        <v>3572</v>
      </c>
      <c r="G398" s="1">
        <f t="shared" si="31"/>
        <v>450000</v>
      </c>
      <c r="H398" s="2">
        <f t="shared" si="32"/>
        <v>92</v>
      </c>
      <c r="I398" s="2">
        <f t="shared" si="33"/>
        <v>7</v>
      </c>
      <c r="J398">
        <f t="shared" si="34"/>
        <v>60</v>
      </c>
    </row>
    <row r="399" spans="1:10" x14ac:dyDescent="0.2">
      <c r="A399" t="s">
        <v>586</v>
      </c>
      <c r="B399" t="s">
        <v>552</v>
      </c>
      <c r="C399" t="s">
        <v>587</v>
      </c>
      <c r="D399" t="s">
        <v>274</v>
      </c>
      <c r="E399" t="s">
        <v>588</v>
      </c>
      <c r="F399" s="2">
        <f t="shared" si="30"/>
        <v>3562</v>
      </c>
      <c r="G399" s="1">
        <f t="shared" si="31"/>
        <v>209000</v>
      </c>
      <c r="H399" s="2">
        <f t="shared" si="32"/>
        <v>92</v>
      </c>
      <c r="I399" s="2">
        <f t="shared" si="33"/>
        <v>0</v>
      </c>
      <c r="J399">
        <f t="shared" si="34"/>
        <v>0</v>
      </c>
    </row>
    <row r="400" spans="1:10" x14ac:dyDescent="0.2">
      <c r="A400" t="s">
        <v>613</v>
      </c>
      <c r="B400" t="s">
        <v>259</v>
      </c>
      <c r="C400" t="s">
        <v>614</v>
      </c>
      <c r="D400" t="s">
        <v>13</v>
      </c>
      <c r="E400" t="s">
        <v>588</v>
      </c>
      <c r="F400" s="2">
        <f t="shared" si="30"/>
        <v>3511</v>
      </c>
      <c r="G400" s="1">
        <f t="shared" si="31"/>
        <v>450000</v>
      </c>
      <c r="H400" s="2">
        <f t="shared" si="32"/>
        <v>92</v>
      </c>
      <c r="I400" s="2">
        <f t="shared" si="33"/>
        <v>0</v>
      </c>
      <c r="J400">
        <f t="shared" si="34"/>
        <v>0</v>
      </c>
    </row>
    <row r="401" spans="1:10" x14ac:dyDescent="0.2">
      <c r="A401" t="s">
        <v>837</v>
      </c>
      <c r="B401" t="s">
        <v>200</v>
      </c>
      <c r="C401" t="s">
        <v>838</v>
      </c>
      <c r="D401" t="s">
        <v>839</v>
      </c>
      <c r="E401" t="s">
        <v>840</v>
      </c>
      <c r="F401" s="2">
        <f t="shared" si="30"/>
        <v>3582</v>
      </c>
      <c r="G401" s="1">
        <f t="shared" si="31"/>
        <v>299000</v>
      </c>
      <c r="H401" s="2">
        <f t="shared" si="32"/>
        <v>92</v>
      </c>
      <c r="I401" s="2">
        <f t="shared" si="33"/>
        <v>0</v>
      </c>
      <c r="J401">
        <f t="shared" si="34"/>
        <v>0</v>
      </c>
    </row>
    <row r="402" spans="1:10" x14ac:dyDescent="0.2">
      <c r="A402" t="s">
        <v>867</v>
      </c>
      <c r="B402" t="s">
        <v>259</v>
      </c>
      <c r="C402" t="s">
        <v>868</v>
      </c>
      <c r="D402" t="s">
        <v>108</v>
      </c>
      <c r="E402" t="s">
        <v>869</v>
      </c>
      <c r="F402" s="2">
        <f t="shared" si="30"/>
        <v>3522</v>
      </c>
      <c r="G402" s="1">
        <f t="shared" si="31"/>
        <v>350000</v>
      </c>
      <c r="H402" s="2">
        <f t="shared" si="32"/>
        <v>92</v>
      </c>
      <c r="I402" s="2">
        <f t="shared" si="33"/>
        <v>0</v>
      </c>
      <c r="J402">
        <f t="shared" si="34"/>
        <v>0</v>
      </c>
    </row>
    <row r="403" spans="1:10" x14ac:dyDescent="0.2">
      <c r="A403" t="s">
        <v>874</v>
      </c>
      <c r="B403" t="s">
        <v>513</v>
      </c>
      <c r="C403" t="s">
        <v>875</v>
      </c>
      <c r="D403" t="s">
        <v>132</v>
      </c>
      <c r="E403" t="s">
        <v>876</v>
      </c>
      <c r="F403" s="2">
        <f t="shared" si="30"/>
        <v>3544</v>
      </c>
      <c r="G403" s="1">
        <f t="shared" si="31"/>
        <v>259000</v>
      </c>
      <c r="H403" s="2">
        <f t="shared" si="32"/>
        <v>92</v>
      </c>
      <c r="I403" s="2">
        <f t="shared" si="33"/>
        <v>0</v>
      </c>
      <c r="J403">
        <f t="shared" si="34"/>
        <v>0</v>
      </c>
    </row>
    <row r="404" spans="1:10" x14ac:dyDescent="0.2">
      <c r="A404" t="s">
        <v>963</v>
      </c>
      <c r="B404" t="s">
        <v>69</v>
      </c>
      <c r="C404" t="s">
        <v>964</v>
      </c>
      <c r="D404" t="s">
        <v>177</v>
      </c>
      <c r="E404" t="s">
        <v>869</v>
      </c>
      <c r="F404" s="2">
        <f t="shared" si="30"/>
        <v>3521</v>
      </c>
      <c r="G404" s="1">
        <f t="shared" si="31"/>
        <v>395000</v>
      </c>
      <c r="H404" s="2">
        <f t="shared" si="32"/>
        <v>92</v>
      </c>
      <c r="I404" s="2">
        <f t="shared" si="33"/>
        <v>0</v>
      </c>
      <c r="J404">
        <f t="shared" si="34"/>
        <v>0</v>
      </c>
    </row>
    <row r="405" spans="1:10" x14ac:dyDescent="0.2">
      <c r="A405" t="s">
        <v>1046</v>
      </c>
      <c r="B405" t="s">
        <v>166</v>
      </c>
      <c r="C405" t="s">
        <v>1047</v>
      </c>
      <c r="D405" t="s">
        <v>8</v>
      </c>
      <c r="E405" t="s">
        <v>869</v>
      </c>
      <c r="F405" s="2">
        <f t="shared" si="30"/>
        <v>3511</v>
      </c>
      <c r="G405" s="1">
        <f t="shared" si="31"/>
        <v>399000</v>
      </c>
      <c r="H405" s="2">
        <f t="shared" si="32"/>
        <v>92</v>
      </c>
      <c r="I405" s="2">
        <f t="shared" si="33"/>
        <v>0</v>
      </c>
      <c r="J405">
        <f t="shared" si="34"/>
        <v>0</v>
      </c>
    </row>
    <row r="406" spans="1:10" x14ac:dyDescent="0.2">
      <c r="A406" t="s">
        <v>1104</v>
      </c>
      <c r="B406" t="s">
        <v>152</v>
      </c>
      <c r="C406" t="s">
        <v>1105</v>
      </c>
      <c r="D406" t="s">
        <v>194</v>
      </c>
      <c r="E406" t="s">
        <v>840</v>
      </c>
      <c r="F406" s="2">
        <f t="shared" si="30"/>
        <v>3514</v>
      </c>
      <c r="G406" s="1">
        <f t="shared" si="31"/>
        <v>400000</v>
      </c>
      <c r="H406" s="2">
        <f t="shared" si="32"/>
        <v>92</v>
      </c>
      <c r="I406" s="2">
        <f t="shared" si="33"/>
        <v>0</v>
      </c>
      <c r="J406">
        <f t="shared" si="34"/>
        <v>0</v>
      </c>
    </row>
    <row r="407" spans="1:10" x14ac:dyDescent="0.2">
      <c r="A407" t="s">
        <v>1195</v>
      </c>
      <c r="B407" t="s">
        <v>157</v>
      </c>
      <c r="C407" t="s">
        <v>1196</v>
      </c>
      <c r="D407" t="s">
        <v>423</v>
      </c>
      <c r="E407" t="s">
        <v>1197</v>
      </c>
      <c r="F407" s="2">
        <f t="shared" si="30"/>
        <v>3513</v>
      </c>
      <c r="G407" s="1">
        <f t="shared" si="31"/>
        <v>385000</v>
      </c>
      <c r="H407" s="2">
        <f t="shared" si="32"/>
        <v>92</v>
      </c>
      <c r="I407" s="2">
        <f t="shared" si="33"/>
        <v>7</v>
      </c>
      <c r="J407">
        <f t="shared" si="34"/>
        <v>57</v>
      </c>
    </row>
    <row r="408" spans="1:10" x14ac:dyDescent="0.2">
      <c r="A408" t="s">
        <v>1263</v>
      </c>
      <c r="B408" t="s">
        <v>148</v>
      </c>
      <c r="C408" t="s">
        <v>1264</v>
      </c>
      <c r="D408" t="s">
        <v>52</v>
      </c>
      <c r="E408" t="s">
        <v>869</v>
      </c>
      <c r="F408" s="2">
        <f t="shared" si="30"/>
        <v>3522</v>
      </c>
      <c r="G408" s="1">
        <f t="shared" si="31"/>
        <v>325000</v>
      </c>
      <c r="H408" s="2">
        <f t="shared" si="32"/>
        <v>92</v>
      </c>
      <c r="I408" s="2">
        <f t="shared" si="33"/>
        <v>0</v>
      </c>
      <c r="J408">
        <f t="shared" si="34"/>
        <v>0</v>
      </c>
    </row>
    <row r="409" spans="1:10" x14ac:dyDescent="0.2">
      <c r="A409" t="s">
        <v>1815</v>
      </c>
      <c r="B409" t="s">
        <v>485</v>
      </c>
      <c r="C409" t="s">
        <v>1816</v>
      </c>
      <c r="D409" t="s">
        <v>1179</v>
      </c>
      <c r="E409" t="s">
        <v>588</v>
      </c>
      <c r="F409" s="2">
        <f t="shared" si="30"/>
        <v>3524</v>
      </c>
      <c r="G409" s="1">
        <f t="shared" si="31"/>
        <v>239000</v>
      </c>
      <c r="H409" s="2">
        <f t="shared" si="32"/>
        <v>92</v>
      </c>
      <c r="I409" s="2">
        <f t="shared" si="33"/>
        <v>0</v>
      </c>
      <c r="J409">
        <f t="shared" si="34"/>
        <v>0</v>
      </c>
    </row>
    <row r="410" spans="1:10" x14ac:dyDescent="0.2">
      <c r="A410" t="s">
        <v>1848</v>
      </c>
      <c r="B410" t="s">
        <v>35</v>
      </c>
      <c r="C410" t="s">
        <v>1849</v>
      </c>
      <c r="D410" t="s">
        <v>108</v>
      </c>
      <c r="E410" t="s">
        <v>588</v>
      </c>
      <c r="F410" s="2">
        <f t="shared" si="30"/>
        <v>3521</v>
      </c>
      <c r="G410" s="1">
        <f t="shared" si="31"/>
        <v>350000</v>
      </c>
      <c r="H410" s="2">
        <f t="shared" si="32"/>
        <v>92</v>
      </c>
      <c r="I410" s="2">
        <f t="shared" si="33"/>
        <v>0</v>
      </c>
      <c r="J410">
        <f t="shared" si="34"/>
        <v>0</v>
      </c>
    </row>
    <row r="411" spans="1:10" x14ac:dyDescent="0.2">
      <c r="A411" t="s">
        <v>1975</v>
      </c>
      <c r="B411" t="s">
        <v>157</v>
      </c>
      <c r="C411" t="s">
        <v>1976</v>
      </c>
      <c r="D411" t="s">
        <v>37</v>
      </c>
      <c r="E411" t="s">
        <v>1977</v>
      </c>
      <c r="F411" s="2">
        <f t="shared" si="30"/>
        <v>3551</v>
      </c>
      <c r="G411" s="1">
        <f t="shared" si="31"/>
        <v>375000</v>
      </c>
      <c r="H411" s="2">
        <f t="shared" si="32"/>
        <v>92</v>
      </c>
      <c r="I411" s="2">
        <f t="shared" si="33"/>
        <v>7</v>
      </c>
      <c r="J411">
        <f t="shared" si="34"/>
        <v>108</v>
      </c>
    </row>
    <row r="412" spans="1:10" x14ac:dyDescent="0.2">
      <c r="A412" t="s">
        <v>2285</v>
      </c>
      <c r="B412" t="s">
        <v>152</v>
      </c>
      <c r="C412" t="s">
        <v>2286</v>
      </c>
      <c r="D412" t="s">
        <v>117</v>
      </c>
      <c r="E412" t="s">
        <v>869</v>
      </c>
      <c r="F412" s="2">
        <f t="shared" si="30"/>
        <v>3544</v>
      </c>
      <c r="G412" s="1">
        <f t="shared" si="31"/>
        <v>269000</v>
      </c>
      <c r="H412" s="2">
        <f t="shared" si="32"/>
        <v>92</v>
      </c>
      <c r="I412" s="2">
        <f t="shared" si="33"/>
        <v>0</v>
      </c>
      <c r="J412">
        <f t="shared" si="34"/>
        <v>0</v>
      </c>
    </row>
    <row r="413" spans="1:10" x14ac:dyDescent="0.2">
      <c r="A413" t="s">
        <v>2502</v>
      </c>
      <c r="B413" t="s">
        <v>55</v>
      </c>
      <c r="C413" t="s">
        <v>2503</v>
      </c>
      <c r="D413" t="s">
        <v>347</v>
      </c>
      <c r="E413" t="s">
        <v>2504</v>
      </c>
      <c r="F413" s="2">
        <f t="shared" si="30"/>
        <v>3534</v>
      </c>
      <c r="G413" s="1">
        <f t="shared" si="31"/>
        <v>315000</v>
      </c>
      <c r="H413" s="2">
        <f t="shared" si="32"/>
        <v>92</v>
      </c>
      <c r="I413" s="2">
        <f t="shared" si="33"/>
        <v>7</v>
      </c>
      <c r="J413">
        <f t="shared" si="34"/>
        <v>93</v>
      </c>
    </row>
    <row r="414" spans="1:10" x14ac:dyDescent="0.2">
      <c r="A414" t="s">
        <v>2851</v>
      </c>
      <c r="B414" t="s">
        <v>502</v>
      </c>
      <c r="C414" t="s">
        <v>2852</v>
      </c>
      <c r="D414" t="s">
        <v>194</v>
      </c>
      <c r="E414" t="s">
        <v>2853</v>
      </c>
      <c r="F414" s="2">
        <f t="shared" si="30"/>
        <v>3515</v>
      </c>
      <c r="G414" s="1">
        <f t="shared" si="31"/>
        <v>400000</v>
      </c>
      <c r="H414" s="2">
        <f t="shared" si="32"/>
        <v>92</v>
      </c>
      <c r="I414" s="2">
        <f t="shared" si="33"/>
        <v>7</v>
      </c>
      <c r="J414">
        <f t="shared" si="34"/>
        <v>114</v>
      </c>
    </row>
    <row r="415" spans="1:10" x14ac:dyDescent="0.2">
      <c r="A415" t="s">
        <v>416</v>
      </c>
      <c r="B415" t="s">
        <v>417</v>
      </c>
      <c r="C415" t="s">
        <v>418</v>
      </c>
      <c r="D415" t="s">
        <v>419</v>
      </c>
      <c r="E415" t="s">
        <v>420</v>
      </c>
      <c r="F415" s="2">
        <f t="shared" si="30"/>
        <v>3544</v>
      </c>
      <c r="G415" s="1">
        <f t="shared" si="31"/>
        <v>309500</v>
      </c>
      <c r="H415" s="2">
        <f t="shared" si="32"/>
        <v>93</v>
      </c>
      <c r="I415" s="2">
        <f t="shared" si="33"/>
        <v>7</v>
      </c>
      <c r="J415">
        <f t="shared" si="34"/>
        <v>113</v>
      </c>
    </row>
    <row r="416" spans="1:10" x14ac:dyDescent="0.2">
      <c r="A416" t="s">
        <v>918</v>
      </c>
      <c r="B416" t="s">
        <v>26</v>
      </c>
      <c r="C416" t="s">
        <v>919</v>
      </c>
      <c r="D416" t="s">
        <v>52</v>
      </c>
      <c r="E416" t="s">
        <v>920</v>
      </c>
      <c r="F416" s="2">
        <f t="shared" si="30"/>
        <v>3584</v>
      </c>
      <c r="G416" s="1">
        <f t="shared" si="31"/>
        <v>325000</v>
      </c>
      <c r="H416" s="2">
        <f t="shared" si="32"/>
        <v>93</v>
      </c>
      <c r="I416" s="2">
        <f t="shared" si="33"/>
        <v>0</v>
      </c>
      <c r="J416">
        <f t="shared" si="34"/>
        <v>0</v>
      </c>
    </row>
    <row r="417" spans="1:10" x14ac:dyDescent="0.2">
      <c r="A417" t="s">
        <v>1249</v>
      </c>
      <c r="B417" t="s">
        <v>1014</v>
      </c>
      <c r="C417" t="s">
        <v>1250</v>
      </c>
      <c r="D417" t="s">
        <v>159</v>
      </c>
      <c r="E417" t="s">
        <v>1251</v>
      </c>
      <c r="F417" s="2">
        <f t="shared" si="30"/>
        <v>3531</v>
      </c>
      <c r="G417" s="1">
        <f t="shared" si="31"/>
        <v>425000</v>
      </c>
      <c r="H417" s="2">
        <f t="shared" si="32"/>
        <v>93</v>
      </c>
      <c r="I417" s="2">
        <f t="shared" si="33"/>
        <v>7</v>
      </c>
      <c r="J417">
        <f t="shared" si="34"/>
        <v>97</v>
      </c>
    </row>
    <row r="418" spans="1:10" x14ac:dyDescent="0.2">
      <c r="A418" t="s">
        <v>1608</v>
      </c>
      <c r="B418" t="s">
        <v>204</v>
      </c>
      <c r="C418" t="s">
        <v>1609</v>
      </c>
      <c r="D418" t="s">
        <v>927</v>
      </c>
      <c r="E418" t="s">
        <v>920</v>
      </c>
      <c r="F418" s="2">
        <f t="shared" si="30"/>
        <v>3571</v>
      </c>
      <c r="G418" s="1">
        <f t="shared" si="31"/>
        <v>249500</v>
      </c>
      <c r="H418" s="2">
        <f t="shared" si="32"/>
        <v>93</v>
      </c>
      <c r="I418" s="2">
        <f t="shared" si="33"/>
        <v>0</v>
      </c>
      <c r="J418">
        <f t="shared" si="34"/>
        <v>0</v>
      </c>
    </row>
    <row r="419" spans="1:10" x14ac:dyDescent="0.2">
      <c r="A419" t="s">
        <v>1914</v>
      </c>
      <c r="B419" t="s">
        <v>575</v>
      </c>
      <c r="C419" t="s">
        <v>1915</v>
      </c>
      <c r="D419" t="s">
        <v>219</v>
      </c>
      <c r="E419" t="s">
        <v>1916</v>
      </c>
      <c r="F419" s="2">
        <f t="shared" si="30"/>
        <v>3514</v>
      </c>
      <c r="G419" s="1">
        <f t="shared" si="31"/>
        <v>410000</v>
      </c>
      <c r="H419" s="2">
        <f t="shared" si="32"/>
        <v>93</v>
      </c>
      <c r="I419" s="2">
        <f t="shared" si="33"/>
        <v>0</v>
      </c>
      <c r="J419">
        <f t="shared" si="34"/>
        <v>0</v>
      </c>
    </row>
    <row r="420" spans="1:10" x14ac:dyDescent="0.2">
      <c r="A420" t="s">
        <v>2133</v>
      </c>
      <c r="B420" t="s">
        <v>175</v>
      </c>
      <c r="C420" t="s">
        <v>2134</v>
      </c>
      <c r="D420" t="s">
        <v>37</v>
      </c>
      <c r="E420" t="s">
        <v>2135</v>
      </c>
      <c r="F420" s="2">
        <f t="shared" si="30"/>
        <v>3515</v>
      </c>
      <c r="G420" s="1">
        <f t="shared" si="31"/>
        <v>375000</v>
      </c>
      <c r="H420" s="2">
        <f t="shared" si="32"/>
        <v>93</v>
      </c>
      <c r="I420" s="2">
        <f t="shared" si="33"/>
        <v>0</v>
      </c>
      <c r="J420">
        <f t="shared" si="34"/>
        <v>0</v>
      </c>
    </row>
    <row r="421" spans="1:10" x14ac:dyDescent="0.2">
      <c r="A421" t="s">
        <v>2193</v>
      </c>
      <c r="B421" t="s">
        <v>204</v>
      </c>
      <c r="C421" t="s">
        <v>2194</v>
      </c>
      <c r="D421" t="s">
        <v>927</v>
      </c>
      <c r="E421" t="s">
        <v>920</v>
      </c>
      <c r="F421" s="2">
        <f t="shared" si="30"/>
        <v>3571</v>
      </c>
      <c r="G421" s="1">
        <f t="shared" si="31"/>
        <v>249500</v>
      </c>
      <c r="H421" s="2">
        <f t="shared" si="32"/>
        <v>93</v>
      </c>
      <c r="I421" s="2">
        <f t="shared" si="33"/>
        <v>0</v>
      </c>
      <c r="J421">
        <f t="shared" si="34"/>
        <v>0</v>
      </c>
    </row>
    <row r="422" spans="1:10" x14ac:dyDescent="0.2">
      <c r="A422" t="s">
        <v>2246</v>
      </c>
      <c r="B422" t="s">
        <v>11</v>
      </c>
      <c r="C422" t="s">
        <v>2247</v>
      </c>
      <c r="D422" t="s">
        <v>2248</v>
      </c>
      <c r="E422" t="s">
        <v>920</v>
      </c>
      <c r="F422" s="2">
        <f t="shared" si="30"/>
        <v>3584</v>
      </c>
      <c r="G422" s="1">
        <f t="shared" si="31"/>
        <v>294000</v>
      </c>
      <c r="H422" s="2">
        <f t="shared" si="32"/>
        <v>93</v>
      </c>
      <c r="I422" s="2">
        <f t="shared" si="33"/>
        <v>0</v>
      </c>
      <c r="J422">
        <f t="shared" si="34"/>
        <v>0</v>
      </c>
    </row>
    <row r="423" spans="1:10" x14ac:dyDescent="0.2">
      <c r="A423" t="s">
        <v>2260</v>
      </c>
      <c r="B423" t="s">
        <v>736</v>
      </c>
      <c r="C423" t="s">
        <v>2261</v>
      </c>
      <c r="D423" t="s">
        <v>2262</v>
      </c>
      <c r="E423" t="s">
        <v>2263</v>
      </c>
      <c r="F423" s="2">
        <f t="shared" si="30"/>
        <v>3555</v>
      </c>
      <c r="G423" s="1">
        <f t="shared" si="31"/>
        <v>244500</v>
      </c>
      <c r="H423" s="2">
        <f t="shared" si="32"/>
        <v>93</v>
      </c>
      <c r="I423" s="2">
        <f t="shared" si="33"/>
        <v>7</v>
      </c>
      <c r="J423">
        <f t="shared" si="34"/>
        <v>143</v>
      </c>
    </row>
    <row r="424" spans="1:10" x14ac:dyDescent="0.2">
      <c r="A424" t="s">
        <v>2474</v>
      </c>
      <c r="B424" t="s">
        <v>502</v>
      </c>
      <c r="C424" t="s">
        <v>2475</v>
      </c>
      <c r="D424" t="s">
        <v>430</v>
      </c>
      <c r="E424" t="s">
        <v>2476</v>
      </c>
      <c r="F424" s="2">
        <f t="shared" si="30"/>
        <v>3526</v>
      </c>
      <c r="G424" s="1">
        <f t="shared" si="31"/>
        <v>250000</v>
      </c>
      <c r="H424" s="2">
        <f t="shared" si="32"/>
        <v>93</v>
      </c>
      <c r="I424" s="2">
        <f t="shared" si="33"/>
        <v>7</v>
      </c>
      <c r="J424">
        <f t="shared" si="34"/>
        <v>128</v>
      </c>
    </row>
    <row r="425" spans="1:10" x14ac:dyDescent="0.2">
      <c r="A425" t="s">
        <v>2513</v>
      </c>
      <c r="B425" t="s">
        <v>736</v>
      </c>
      <c r="C425" t="s">
        <v>2514</v>
      </c>
      <c r="D425" t="s">
        <v>37</v>
      </c>
      <c r="E425" t="s">
        <v>1916</v>
      </c>
      <c r="F425" s="2">
        <f t="shared" si="30"/>
        <v>3533</v>
      </c>
      <c r="G425" s="1">
        <f t="shared" si="31"/>
        <v>375000</v>
      </c>
      <c r="H425" s="2">
        <f t="shared" si="32"/>
        <v>93</v>
      </c>
      <c r="I425" s="2">
        <f t="shared" si="33"/>
        <v>0</v>
      </c>
      <c r="J425">
        <f t="shared" si="34"/>
        <v>0</v>
      </c>
    </row>
    <row r="426" spans="1:10" x14ac:dyDescent="0.2">
      <c r="A426" t="s">
        <v>2595</v>
      </c>
      <c r="B426" t="s">
        <v>11</v>
      </c>
      <c r="C426" t="s">
        <v>2596</v>
      </c>
      <c r="D426" t="s">
        <v>546</v>
      </c>
      <c r="E426" t="s">
        <v>2597</v>
      </c>
      <c r="F426" s="2">
        <f t="shared" si="30"/>
        <v>3531</v>
      </c>
      <c r="G426" s="1">
        <f t="shared" si="31"/>
        <v>339000</v>
      </c>
      <c r="H426" s="2">
        <f t="shared" si="32"/>
        <v>93</v>
      </c>
      <c r="I426" s="2">
        <f t="shared" si="33"/>
        <v>7</v>
      </c>
      <c r="J426">
        <f t="shared" si="34"/>
        <v>68</v>
      </c>
    </row>
    <row r="427" spans="1:10" x14ac:dyDescent="0.2">
      <c r="A427" t="s">
        <v>2673</v>
      </c>
      <c r="B427" t="s">
        <v>311</v>
      </c>
      <c r="C427" t="s">
        <v>2674</v>
      </c>
      <c r="D427" t="s">
        <v>1179</v>
      </c>
      <c r="E427" t="s">
        <v>2476</v>
      </c>
      <c r="F427" s="2">
        <f t="shared" si="30"/>
        <v>3526</v>
      </c>
      <c r="G427" s="1">
        <f t="shared" si="31"/>
        <v>239000</v>
      </c>
      <c r="H427" s="2">
        <f t="shared" si="32"/>
        <v>93</v>
      </c>
      <c r="I427" s="2">
        <f t="shared" si="33"/>
        <v>7</v>
      </c>
      <c r="J427">
        <f t="shared" si="34"/>
        <v>128</v>
      </c>
    </row>
    <row r="428" spans="1:10" x14ac:dyDescent="0.2">
      <c r="A428" t="s">
        <v>2769</v>
      </c>
      <c r="B428" t="s">
        <v>74</v>
      </c>
      <c r="C428" t="s">
        <v>2770</v>
      </c>
      <c r="D428" t="s">
        <v>331</v>
      </c>
      <c r="E428" t="s">
        <v>2771</v>
      </c>
      <c r="F428" s="2">
        <f t="shared" si="30"/>
        <v>3553</v>
      </c>
      <c r="G428" s="1">
        <f t="shared" si="31"/>
        <v>389000</v>
      </c>
      <c r="H428" s="2">
        <f t="shared" si="32"/>
        <v>93</v>
      </c>
      <c r="I428" s="2">
        <f t="shared" si="33"/>
        <v>7</v>
      </c>
      <c r="J428">
        <f t="shared" si="34"/>
        <v>91</v>
      </c>
    </row>
    <row r="429" spans="1:10" x14ac:dyDescent="0.2">
      <c r="A429" t="s">
        <v>368</v>
      </c>
      <c r="B429" t="s">
        <v>40</v>
      </c>
      <c r="C429" t="s">
        <v>369</v>
      </c>
      <c r="D429" t="s">
        <v>370</v>
      </c>
      <c r="E429" t="s">
        <v>371</v>
      </c>
      <c r="F429" s="2">
        <f t="shared" si="30"/>
        <v>3573</v>
      </c>
      <c r="G429" s="1">
        <f t="shared" si="31"/>
        <v>365000</v>
      </c>
      <c r="H429" s="2">
        <f t="shared" si="32"/>
        <v>94</v>
      </c>
      <c r="I429" s="2">
        <f t="shared" si="33"/>
        <v>7</v>
      </c>
      <c r="J429">
        <f t="shared" si="34"/>
        <v>52</v>
      </c>
    </row>
    <row r="430" spans="1:10" x14ac:dyDescent="0.2">
      <c r="A430" t="s">
        <v>571</v>
      </c>
      <c r="B430" t="s">
        <v>502</v>
      </c>
      <c r="C430" t="s">
        <v>572</v>
      </c>
      <c r="D430" t="s">
        <v>57</v>
      </c>
      <c r="E430" t="s">
        <v>573</v>
      </c>
      <c r="F430" s="2">
        <f t="shared" si="30"/>
        <v>3526</v>
      </c>
      <c r="G430" s="1">
        <f t="shared" si="31"/>
        <v>225000</v>
      </c>
      <c r="H430" s="2">
        <f t="shared" si="32"/>
        <v>94</v>
      </c>
      <c r="I430" s="2">
        <f t="shared" si="33"/>
        <v>0</v>
      </c>
      <c r="J430">
        <f t="shared" si="34"/>
        <v>0</v>
      </c>
    </row>
    <row r="431" spans="1:10" x14ac:dyDescent="0.2">
      <c r="A431" t="s">
        <v>582</v>
      </c>
      <c r="B431" t="s">
        <v>264</v>
      </c>
      <c r="C431" t="s">
        <v>583</v>
      </c>
      <c r="D431" t="s">
        <v>584</v>
      </c>
      <c r="E431" t="s">
        <v>585</v>
      </c>
      <c r="F431" s="2">
        <f t="shared" si="30"/>
        <v>3534</v>
      </c>
      <c r="G431" s="1">
        <f t="shared" si="31"/>
        <v>337500</v>
      </c>
      <c r="H431" s="2">
        <f t="shared" si="32"/>
        <v>94</v>
      </c>
      <c r="I431" s="2">
        <f t="shared" si="33"/>
        <v>7</v>
      </c>
      <c r="J431">
        <f t="shared" si="34"/>
        <v>111</v>
      </c>
    </row>
    <row r="432" spans="1:10" x14ac:dyDescent="0.2">
      <c r="A432" t="s">
        <v>925</v>
      </c>
      <c r="B432" t="s">
        <v>50</v>
      </c>
      <c r="C432" t="s">
        <v>926</v>
      </c>
      <c r="D432" t="s">
        <v>927</v>
      </c>
      <c r="E432" t="s">
        <v>928</v>
      </c>
      <c r="F432" s="2">
        <f t="shared" si="30"/>
        <v>3553</v>
      </c>
      <c r="G432" s="1">
        <f t="shared" si="31"/>
        <v>249500</v>
      </c>
      <c r="H432" s="2">
        <f t="shared" si="32"/>
        <v>94</v>
      </c>
      <c r="I432" s="2">
        <f t="shared" si="33"/>
        <v>7</v>
      </c>
      <c r="J432">
        <f t="shared" si="34"/>
        <v>74</v>
      </c>
    </row>
    <row r="433" spans="1:10" x14ac:dyDescent="0.2">
      <c r="A433" t="s">
        <v>1360</v>
      </c>
      <c r="B433" t="s">
        <v>377</v>
      </c>
      <c r="C433" t="s">
        <v>1361</v>
      </c>
      <c r="D433" t="s">
        <v>1362</v>
      </c>
      <c r="E433" t="s">
        <v>1363</v>
      </c>
      <c r="F433" s="2">
        <f t="shared" si="30"/>
        <v>3545</v>
      </c>
      <c r="G433" s="1">
        <f t="shared" si="31"/>
        <v>329000</v>
      </c>
      <c r="H433" s="2">
        <f t="shared" si="32"/>
        <v>94</v>
      </c>
      <c r="I433" s="2">
        <f t="shared" si="33"/>
        <v>0</v>
      </c>
      <c r="J433">
        <f t="shared" si="34"/>
        <v>0</v>
      </c>
    </row>
    <row r="434" spans="1:10" x14ac:dyDescent="0.2">
      <c r="A434" t="s">
        <v>1459</v>
      </c>
      <c r="B434" t="s">
        <v>502</v>
      </c>
      <c r="C434" t="s">
        <v>1460</v>
      </c>
      <c r="D434" t="s">
        <v>1222</v>
      </c>
      <c r="E434" t="s">
        <v>1461</v>
      </c>
      <c r="F434" s="2">
        <f t="shared" si="30"/>
        <v>3544</v>
      </c>
      <c r="G434" s="1">
        <f t="shared" si="31"/>
        <v>319500</v>
      </c>
      <c r="H434" s="2">
        <f t="shared" si="32"/>
        <v>94</v>
      </c>
      <c r="I434" s="2">
        <f t="shared" si="33"/>
        <v>7</v>
      </c>
      <c r="J434">
        <f t="shared" si="34"/>
        <v>125</v>
      </c>
    </row>
    <row r="435" spans="1:10" x14ac:dyDescent="0.2">
      <c r="A435" t="s">
        <v>2095</v>
      </c>
      <c r="B435" t="s">
        <v>69</v>
      </c>
      <c r="C435" t="s">
        <v>2096</v>
      </c>
      <c r="D435" t="s">
        <v>108</v>
      </c>
      <c r="E435" t="s">
        <v>1363</v>
      </c>
      <c r="F435" s="2">
        <f t="shared" si="30"/>
        <v>3582</v>
      </c>
      <c r="G435" s="1">
        <f t="shared" si="31"/>
        <v>350000</v>
      </c>
      <c r="H435" s="2">
        <f t="shared" si="32"/>
        <v>94</v>
      </c>
      <c r="I435" s="2">
        <f t="shared" si="33"/>
        <v>0</v>
      </c>
      <c r="J435">
        <f t="shared" si="34"/>
        <v>0</v>
      </c>
    </row>
    <row r="436" spans="1:10" x14ac:dyDescent="0.2">
      <c r="A436" t="s">
        <v>2174</v>
      </c>
      <c r="B436" t="s">
        <v>325</v>
      </c>
      <c r="C436" t="s">
        <v>2175</v>
      </c>
      <c r="D436" t="s">
        <v>430</v>
      </c>
      <c r="E436" t="s">
        <v>573</v>
      </c>
      <c r="F436" s="2">
        <f t="shared" si="30"/>
        <v>3553</v>
      </c>
      <c r="G436" s="1">
        <f t="shared" si="31"/>
        <v>250000</v>
      </c>
      <c r="H436" s="2">
        <f t="shared" si="32"/>
        <v>94</v>
      </c>
      <c r="I436" s="2">
        <f t="shared" si="33"/>
        <v>0</v>
      </c>
      <c r="J436">
        <f t="shared" si="34"/>
        <v>0</v>
      </c>
    </row>
    <row r="437" spans="1:10" x14ac:dyDescent="0.2">
      <c r="A437" t="s">
        <v>2266</v>
      </c>
      <c r="B437" t="s">
        <v>316</v>
      </c>
      <c r="C437" t="s">
        <v>2267</v>
      </c>
      <c r="D437" t="s">
        <v>13</v>
      </c>
      <c r="E437" t="s">
        <v>2268</v>
      </c>
      <c r="F437" s="2">
        <f t="shared" si="30"/>
        <v>3514</v>
      </c>
      <c r="G437" s="1">
        <f t="shared" si="31"/>
        <v>450000</v>
      </c>
      <c r="H437" s="2">
        <f t="shared" si="32"/>
        <v>94</v>
      </c>
      <c r="I437" s="2">
        <f t="shared" si="33"/>
        <v>7</v>
      </c>
      <c r="J437">
        <f t="shared" si="34"/>
        <v>98</v>
      </c>
    </row>
    <row r="438" spans="1:10" x14ac:dyDescent="0.2">
      <c r="A438" t="s">
        <v>2341</v>
      </c>
      <c r="B438" t="s">
        <v>736</v>
      </c>
      <c r="C438" t="s">
        <v>2342</v>
      </c>
      <c r="D438" t="s">
        <v>37</v>
      </c>
      <c r="E438" t="s">
        <v>2343</v>
      </c>
      <c r="F438" s="2">
        <f t="shared" si="30"/>
        <v>3531</v>
      </c>
      <c r="G438" s="1">
        <f t="shared" si="31"/>
        <v>375000</v>
      </c>
      <c r="H438" s="2">
        <f t="shared" si="32"/>
        <v>94</v>
      </c>
      <c r="I438" s="2">
        <f t="shared" si="33"/>
        <v>7</v>
      </c>
      <c r="J438">
        <f t="shared" si="34"/>
        <v>74</v>
      </c>
    </row>
    <row r="439" spans="1:10" x14ac:dyDescent="0.2">
      <c r="A439" t="s">
        <v>2378</v>
      </c>
      <c r="B439" t="s">
        <v>97</v>
      </c>
      <c r="C439" t="s">
        <v>2379</v>
      </c>
      <c r="D439" t="s">
        <v>444</v>
      </c>
      <c r="E439" t="s">
        <v>1363</v>
      </c>
      <c r="F439" s="2">
        <f t="shared" si="30"/>
        <v>3526</v>
      </c>
      <c r="G439" s="1">
        <f t="shared" si="31"/>
        <v>200000</v>
      </c>
      <c r="H439" s="2">
        <f t="shared" si="32"/>
        <v>94</v>
      </c>
      <c r="I439" s="2">
        <f t="shared" si="33"/>
        <v>0</v>
      </c>
      <c r="J439">
        <f t="shared" si="34"/>
        <v>0</v>
      </c>
    </row>
    <row r="440" spans="1:10" x14ac:dyDescent="0.2">
      <c r="A440" t="s">
        <v>2383</v>
      </c>
      <c r="B440" t="s">
        <v>355</v>
      </c>
      <c r="C440" t="s">
        <v>2384</v>
      </c>
      <c r="D440" t="s">
        <v>395</v>
      </c>
      <c r="E440" t="s">
        <v>1363</v>
      </c>
      <c r="F440" s="2">
        <f t="shared" si="30"/>
        <v>3544</v>
      </c>
      <c r="G440" s="1">
        <f t="shared" si="31"/>
        <v>295000</v>
      </c>
      <c r="H440" s="2">
        <f t="shared" si="32"/>
        <v>94</v>
      </c>
      <c r="I440" s="2">
        <f t="shared" si="33"/>
        <v>0</v>
      </c>
      <c r="J440">
        <f t="shared" si="34"/>
        <v>0</v>
      </c>
    </row>
    <row r="441" spans="1:10" x14ac:dyDescent="0.2">
      <c r="A441" t="s">
        <v>2926</v>
      </c>
      <c r="B441" t="s">
        <v>451</v>
      </c>
      <c r="C441" t="s">
        <v>2927</v>
      </c>
      <c r="D441" t="s">
        <v>108</v>
      </c>
      <c r="E441" t="s">
        <v>2928</v>
      </c>
      <c r="F441" s="2">
        <f t="shared" si="30"/>
        <v>3555</v>
      </c>
      <c r="G441" s="1">
        <f t="shared" si="31"/>
        <v>350000</v>
      </c>
      <c r="H441" s="2">
        <f t="shared" si="32"/>
        <v>94</v>
      </c>
      <c r="I441" s="2">
        <f t="shared" si="33"/>
        <v>7</v>
      </c>
      <c r="J441">
        <f t="shared" si="34"/>
        <v>82</v>
      </c>
    </row>
    <row r="442" spans="1:10" x14ac:dyDescent="0.2">
      <c r="A442" t="s">
        <v>44</v>
      </c>
      <c r="B442" t="s">
        <v>45</v>
      </c>
      <c r="C442" t="s">
        <v>46</v>
      </c>
      <c r="D442" t="s">
        <v>47</v>
      </c>
      <c r="E442" t="s">
        <v>48</v>
      </c>
      <c r="F442" s="2">
        <f t="shared" si="30"/>
        <v>3552</v>
      </c>
      <c r="G442" s="1">
        <f t="shared" si="31"/>
        <v>289000</v>
      </c>
      <c r="H442" s="2">
        <f t="shared" si="32"/>
        <v>95</v>
      </c>
      <c r="I442" s="2">
        <f t="shared" si="33"/>
        <v>0</v>
      </c>
      <c r="J442">
        <f t="shared" si="34"/>
        <v>0</v>
      </c>
    </row>
    <row r="443" spans="1:10" x14ac:dyDescent="0.2">
      <c r="A443" t="s">
        <v>642</v>
      </c>
      <c r="B443" t="s">
        <v>92</v>
      </c>
      <c r="C443" t="s">
        <v>643</v>
      </c>
      <c r="D443" t="s">
        <v>644</v>
      </c>
      <c r="E443" t="s">
        <v>645</v>
      </c>
      <c r="F443" s="2">
        <f t="shared" si="30"/>
        <v>3545</v>
      </c>
      <c r="G443" s="1">
        <f t="shared" si="31"/>
        <v>337000</v>
      </c>
      <c r="H443" s="2">
        <f t="shared" si="32"/>
        <v>95</v>
      </c>
      <c r="I443" s="2">
        <f t="shared" si="33"/>
        <v>0</v>
      </c>
      <c r="J443">
        <f t="shared" si="34"/>
        <v>0</v>
      </c>
    </row>
    <row r="444" spans="1:10" x14ac:dyDescent="0.2">
      <c r="A444" t="s">
        <v>1385</v>
      </c>
      <c r="B444" t="s">
        <v>377</v>
      </c>
      <c r="C444" t="s">
        <v>1386</v>
      </c>
      <c r="D444" t="s">
        <v>108</v>
      </c>
      <c r="E444" t="s">
        <v>1387</v>
      </c>
      <c r="F444" s="2">
        <f t="shared" si="30"/>
        <v>3572</v>
      </c>
      <c r="G444" s="1">
        <f t="shared" si="31"/>
        <v>350000</v>
      </c>
      <c r="H444" s="2">
        <f t="shared" si="32"/>
        <v>95</v>
      </c>
      <c r="I444" s="2">
        <f t="shared" si="33"/>
        <v>7</v>
      </c>
      <c r="J444">
        <f t="shared" si="34"/>
        <v>60</v>
      </c>
    </row>
    <row r="445" spans="1:10" x14ac:dyDescent="0.2">
      <c r="A445" t="s">
        <v>2780</v>
      </c>
      <c r="B445" t="s">
        <v>50</v>
      </c>
      <c r="C445" t="s">
        <v>2781</v>
      </c>
      <c r="D445" t="s">
        <v>569</v>
      </c>
      <c r="E445" t="s">
        <v>2782</v>
      </c>
      <c r="F445" s="2">
        <f t="shared" si="30"/>
        <v>3526</v>
      </c>
      <c r="G445" s="1">
        <f t="shared" si="31"/>
        <v>249000</v>
      </c>
      <c r="H445" s="2">
        <f t="shared" si="32"/>
        <v>95</v>
      </c>
      <c r="I445" s="2">
        <f t="shared" si="33"/>
        <v>7</v>
      </c>
      <c r="J445">
        <f t="shared" si="34"/>
        <v>136</v>
      </c>
    </row>
    <row r="446" spans="1:10" x14ac:dyDescent="0.2">
      <c r="A446" t="s">
        <v>551</v>
      </c>
      <c r="B446" t="s">
        <v>552</v>
      </c>
      <c r="C446" t="s">
        <v>553</v>
      </c>
      <c r="D446" t="s">
        <v>327</v>
      </c>
      <c r="E446" t="s">
        <v>554</v>
      </c>
      <c r="F446" s="2">
        <f t="shared" si="30"/>
        <v>3564</v>
      </c>
      <c r="G446" s="1">
        <f t="shared" si="31"/>
        <v>245000</v>
      </c>
      <c r="H446" s="2">
        <f t="shared" si="32"/>
        <v>96</v>
      </c>
      <c r="I446" s="2">
        <f t="shared" si="33"/>
        <v>0</v>
      </c>
      <c r="J446">
        <f t="shared" si="34"/>
        <v>0</v>
      </c>
    </row>
    <row r="447" spans="1:10" x14ac:dyDescent="0.2">
      <c r="A447" t="s">
        <v>725</v>
      </c>
      <c r="B447" t="s">
        <v>513</v>
      </c>
      <c r="C447" t="s">
        <v>726</v>
      </c>
      <c r="D447" t="s">
        <v>99</v>
      </c>
      <c r="E447" t="s">
        <v>727</v>
      </c>
      <c r="F447" s="2">
        <f t="shared" si="30"/>
        <v>3523</v>
      </c>
      <c r="G447" s="1">
        <f t="shared" si="31"/>
        <v>300000</v>
      </c>
      <c r="H447" s="2">
        <f t="shared" si="32"/>
        <v>96</v>
      </c>
      <c r="I447" s="2">
        <f t="shared" si="33"/>
        <v>7</v>
      </c>
      <c r="J447">
        <f t="shared" si="34"/>
        <v>133</v>
      </c>
    </row>
    <row r="448" spans="1:10" x14ac:dyDescent="0.2">
      <c r="A448" t="s">
        <v>936</v>
      </c>
      <c r="B448" t="s">
        <v>143</v>
      </c>
      <c r="C448" t="s">
        <v>937</v>
      </c>
      <c r="D448" t="s">
        <v>52</v>
      </c>
      <c r="E448" t="s">
        <v>938</v>
      </c>
      <c r="F448" s="2">
        <f t="shared" si="30"/>
        <v>3524</v>
      </c>
      <c r="G448" s="1">
        <f t="shared" si="31"/>
        <v>325000</v>
      </c>
      <c r="H448" s="2">
        <f t="shared" si="32"/>
        <v>96</v>
      </c>
      <c r="I448" s="2">
        <f t="shared" si="33"/>
        <v>7</v>
      </c>
      <c r="J448">
        <f t="shared" si="34"/>
        <v>99</v>
      </c>
    </row>
    <row r="449" spans="1:10" x14ac:dyDescent="0.2">
      <c r="A449" t="s">
        <v>1034</v>
      </c>
      <c r="B449" t="s">
        <v>92</v>
      </c>
      <c r="C449" t="s">
        <v>1035</v>
      </c>
      <c r="D449" t="s">
        <v>1036</v>
      </c>
      <c r="E449" t="s">
        <v>554</v>
      </c>
      <c r="F449" s="2">
        <f t="shared" si="30"/>
        <v>3533</v>
      </c>
      <c r="G449" s="1">
        <f t="shared" si="31"/>
        <v>352500</v>
      </c>
      <c r="H449" s="2">
        <f t="shared" si="32"/>
        <v>96</v>
      </c>
      <c r="I449" s="2">
        <f t="shared" si="33"/>
        <v>0</v>
      </c>
      <c r="J449">
        <f t="shared" si="34"/>
        <v>0</v>
      </c>
    </row>
    <row r="450" spans="1:10" x14ac:dyDescent="0.2">
      <c r="A450" t="s">
        <v>1556</v>
      </c>
      <c r="B450" t="s">
        <v>11</v>
      </c>
      <c r="C450" t="s">
        <v>1557</v>
      </c>
      <c r="D450" t="s">
        <v>1558</v>
      </c>
      <c r="E450" t="s">
        <v>554</v>
      </c>
      <c r="F450" s="2">
        <f t="shared" ref="F450:F513" si="35">VALUE(LEFT(RIGHT(C450,15),4))</f>
        <v>3544</v>
      </c>
      <c r="G450" s="1">
        <f t="shared" ref="G450:G513" si="36">VALUE(MID(D450,3,FIND(" ",D450,3)-3))</f>
        <v>282500</v>
      </c>
      <c r="H450" s="2">
        <f t="shared" ref="H450:H513" si="37">VALUE(LEFT(E450,FIND(" ",E450,1)-1))</f>
        <v>96</v>
      </c>
      <c r="I450" s="2">
        <f t="shared" ref="I450:I513" si="38">IFERROR(FIND("/",E450,1),0)</f>
        <v>0</v>
      </c>
      <c r="J450">
        <f t="shared" ref="J450:J513" si="39">IF(I450=0,0,VALUE(MID(E450,FIND("/",E450,1)+2,(FIND(" ",E450,FIND("/",E450,1)+2)-(FIND("/",E450,1))-1))))</f>
        <v>0</v>
      </c>
    </row>
    <row r="451" spans="1:10" x14ac:dyDescent="0.2">
      <c r="A451" t="s">
        <v>1588</v>
      </c>
      <c r="B451" t="s">
        <v>97</v>
      </c>
      <c r="C451" t="s">
        <v>1589</v>
      </c>
      <c r="D451" t="s">
        <v>804</v>
      </c>
      <c r="E451" t="s">
        <v>1590</v>
      </c>
      <c r="F451" s="2">
        <f t="shared" si="35"/>
        <v>3513</v>
      </c>
      <c r="G451" s="1">
        <f t="shared" si="36"/>
        <v>449000</v>
      </c>
      <c r="H451" s="2">
        <f t="shared" si="37"/>
        <v>96</v>
      </c>
      <c r="I451" s="2">
        <f t="shared" si="38"/>
        <v>7</v>
      </c>
      <c r="J451">
        <f t="shared" si="39"/>
        <v>62</v>
      </c>
    </row>
    <row r="452" spans="1:10" x14ac:dyDescent="0.2">
      <c r="A452" t="s">
        <v>1933</v>
      </c>
      <c r="B452" t="s">
        <v>200</v>
      </c>
      <c r="C452" t="s">
        <v>1934</v>
      </c>
      <c r="D452" t="s">
        <v>395</v>
      </c>
      <c r="E452" t="s">
        <v>1935</v>
      </c>
      <c r="F452" s="2">
        <f t="shared" si="35"/>
        <v>3555</v>
      </c>
      <c r="G452" s="1">
        <f t="shared" si="36"/>
        <v>295000</v>
      </c>
      <c r="H452" s="2">
        <f t="shared" si="37"/>
        <v>96</v>
      </c>
      <c r="I452" s="2">
        <f t="shared" si="38"/>
        <v>7</v>
      </c>
      <c r="J452">
        <f t="shared" si="39"/>
        <v>123</v>
      </c>
    </row>
    <row r="453" spans="1:10" x14ac:dyDescent="0.2">
      <c r="A453" t="s">
        <v>2015</v>
      </c>
      <c r="B453" t="s">
        <v>833</v>
      </c>
      <c r="C453" t="s">
        <v>2016</v>
      </c>
      <c r="D453" t="s">
        <v>741</v>
      </c>
      <c r="E453" t="s">
        <v>2017</v>
      </c>
      <c r="F453" s="2">
        <f t="shared" si="35"/>
        <v>3527</v>
      </c>
      <c r="G453" s="1">
        <f t="shared" si="36"/>
        <v>235000</v>
      </c>
      <c r="H453" s="2">
        <f t="shared" si="37"/>
        <v>96</v>
      </c>
      <c r="I453" s="2">
        <f t="shared" si="38"/>
        <v>7</v>
      </c>
      <c r="J453">
        <f t="shared" si="39"/>
        <v>220</v>
      </c>
    </row>
    <row r="454" spans="1:10" x14ac:dyDescent="0.2">
      <c r="A454" t="s">
        <v>2226</v>
      </c>
      <c r="B454" t="s">
        <v>166</v>
      </c>
      <c r="C454" t="s">
        <v>2227</v>
      </c>
      <c r="D454" t="s">
        <v>327</v>
      </c>
      <c r="E454" t="s">
        <v>2228</v>
      </c>
      <c r="F454" s="2">
        <f t="shared" si="35"/>
        <v>3555</v>
      </c>
      <c r="G454" s="1">
        <f t="shared" si="36"/>
        <v>245000</v>
      </c>
      <c r="H454" s="2">
        <f t="shared" si="37"/>
        <v>96</v>
      </c>
      <c r="I454" s="2">
        <f t="shared" si="38"/>
        <v>0</v>
      </c>
      <c r="J454">
        <f t="shared" si="39"/>
        <v>0</v>
      </c>
    </row>
    <row r="455" spans="1:10" x14ac:dyDescent="0.2">
      <c r="A455" t="s">
        <v>2577</v>
      </c>
      <c r="B455" t="s">
        <v>552</v>
      </c>
      <c r="C455" t="s">
        <v>2578</v>
      </c>
      <c r="D455" t="s">
        <v>52</v>
      </c>
      <c r="E455" t="s">
        <v>2579</v>
      </c>
      <c r="F455" s="2">
        <f t="shared" si="35"/>
        <v>3531</v>
      </c>
      <c r="G455" s="1">
        <f t="shared" si="36"/>
        <v>325000</v>
      </c>
      <c r="H455" s="2">
        <f t="shared" si="37"/>
        <v>96</v>
      </c>
      <c r="I455" s="2">
        <f t="shared" si="38"/>
        <v>7</v>
      </c>
      <c r="J455">
        <f t="shared" si="39"/>
        <v>75</v>
      </c>
    </row>
    <row r="456" spans="1:10" x14ac:dyDescent="0.2">
      <c r="A456" t="s">
        <v>2904</v>
      </c>
      <c r="B456" t="s">
        <v>6</v>
      </c>
      <c r="C456" t="s">
        <v>2905</v>
      </c>
      <c r="D456" t="s">
        <v>117</v>
      </c>
      <c r="E456" t="s">
        <v>2906</v>
      </c>
      <c r="F456" s="2">
        <f t="shared" si="35"/>
        <v>3554</v>
      </c>
      <c r="G456" s="1">
        <f t="shared" si="36"/>
        <v>269000</v>
      </c>
      <c r="H456" s="2">
        <f t="shared" si="37"/>
        <v>96</v>
      </c>
      <c r="I456" s="2">
        <f t="shared" si="38"/>
        <v>7</v>
      </c>
      <c r="J456">
        <f t="shared" si="39"/>
        <v>77</v>
      </c>
    </row>
    <row r="457" spans="1:10" x14ac:dyDescent="0.2">
      <c r="A457" t="s">
        <v>106</v>
      </c>
      <c r="B457" t="s">
        <v>40</v>
      </c>
      <c r="C457" t="s">
        <v>107</v>
      </c>
      <c r="D457" t="s">
        <v>108</v>
      </c>
      <c r="E457" t="s">
        <v>109</v>
      </c>
      <c r="F457" s="2">
        <f t="shared" si="35"/>
        <v>3531</v>
      </c>
      <c r="G457" s="1">
        <f t="shared" si="36"/>
        <v>350000</v>
      </c>
      <c r="H457" s="2">
        <f t="shared" si="37"/>
        <v>97</v>
      </c>
      <c r="I457" s="2">
        <f t="shared" si="38"/>
        <v>0</v>
      </c>
      <c r="J457">
        <f t="shared" si="39"/>
        <v>0</v>
      </c>
    </row>
    <row r="458" spans="1:10" x14ac:dyDescent="0.2">
      <c r="A458" t="s">
        <v>1325</v>
      </c>
      <c r="B458" t="s">
        <v>45</v>
      </c>
      <c r="C458" t="s">
        <v>1326</v>
      </c>
      <c r="D458" t="s">
        <v>177</v>
      </c>
      <c r="E458" t="s">
        <v>1327</v>
      </c>
      <c r="F458" s="2">
        <f t="shared" si="35"/>
        <v>3532</v>
      </c>
      <c r="G458" s="1">
        <f t="shared" si="36"/>
        <v>395000</v>
      </c>
      <c r="H458" s="2">
        <f t="shared" si="37"/>
        <v>97</v>
      </c>
      <c r="I458" s="2">
        <f t="shared" si="38"/>
        <v>7</v>
      </c>
      <c r="J458">
        <f t="shared" si="39"/>
        <v>135</v>
      </c>
    </row>
    <row r="459" spans="1:10" x14ac:dyDescent="0.2">
      <c r="A459" t="s">
        <v>1861</v>
      </c>
      <c r="B459" t="s">
        <v>11</v>
      </c>
      <c r="C459" t="s">
        <v>1862</v>
      </c>
      <c r="D459" t="s">
        <v>52</v>
      </c>
      <c r="E459" t="s">
        <v>1863</v>
      </c>
      <c r="F459" s="2">
        <f t="shared" si="35"/>
        <v>3572</v>
      </c>
      <c r="G459" s="1">
        <f t="shared" si="36"/>
        <v>325000</v>
      </c>
      <c r="H459" s="2">
        <f t="shared" si="37"/>
        <v>97</v>
      </c>
      <c r="I459" s="2">
        <f t="shared" si="38"/>
        <v>0</v>
      </c>
      <c r="J459">
        <f t="shared" si="39"/>
        <v>0</v>
      </c>
    </row>
    <row r="460" spans="1:10" x14ac:dyDescent="0.2">
      <c r="A460" t="s">
        <v>2208</v>
      </c>
      <c r="B460" t="s">
        <v>524</v>
      </c>
      <c r="C460" t="s">
        <v>2209</v>
      </c>
      <c r="D460" t="s">
        <v>423</v>
      </c>
      <c r="E460" t="s">
        <v>2210</v>
      </c>
      <c r="F460" s="2">
        <f t="shared" si="35"/>
        <v>3522</v>
      </c>
      <c r="G460" s="1">
        <f t="shared" si="36"/>
        <v>385000</v>
      </c>
      <c r="H460" s="2">
        <f t="shared" si="37"/>
        <v>97</v>
      </c>
      <c r="I460" s="2">
        <f t="shared" si="38"/>
        <v>7</v>
      </c>
      <c r="J460">
        <f t="shared" si="39"/>
        <v>108</v>
      </c>
    </row>
    <row r="461" spans="1:10" x14ac:dyDescent="0.2">
      <c r="A461" t="s">
        <v>2235</v>
      </c>
      <c r="B461" t="s">
        <v>125</v>
      </c>
      <c r="C461" t="s">
        <v>2236</v>
      </c>
      <c r="D461" t="s">
        <v>2237</v>
      </c>
      <c r="E461" t="s">
        <v>109</v>
      </c>
      <c r="F461" s="2">
        <f t="shared" si="35"/>
        <v>3573</v>
      </c>
      <c r="G461" s="1">
        <f t="shared" si="36"/>
        <v>380000</v>
      </c>
      <c r="H461" s="2">
        <f t="shared" si="37"/>
        <v>97</v>
      </c>
      <c r="I461" s="2">
        <f t="shared" si="38"/>
        <v>0</v>
      </c>
      <c r="J461">
        <f t="shared" si="39"/>
        <v>0</v>
      </c>
    </row>
    <row r="462" spans="1:10" x14ac:dyDescent="0.2">
      <c r="A462" t="s">
        <v>2364</v>
      </c>
      <c r="B462" t="s">
        <v>342</v>
      </c>
      <c r="C462" t="s">
        <v>2365</v>
      </c>
      <c r="D462" t="s">
        <v>347</v>
      </c>
      <c r="E462" t="s">
        <v>109</v>
      </c>
      <c r="F462" s="2">
        <f t="shared" si="35"/>
        <v>3525</v>
      </c>
      <c r="G462" s="1">
        <f t="shared" si="36"/>
        <v>315000</v>
      </c>
      <c r="H462" s="2">
        <f t="shared" si="37"/>
        <v>97</v>
      </c>
      <c r="I462" s="2">
        <f t="shared" si="38"/>
        <v>0</v>
      </c>
      <c r="J462">
        <f t="shared" si="39"/>
        <v>0</v>
      </c>
    </row>
    <row r="463" spans="1:10" x14ac:dyDescent="0.2">
      <c r="A463" t="s">
        <v>2484</v>
      </c>
      <c r="B463" t="s">
        <v>84</v>
      </c>
      <c r="C463" t="s">
        <v>2485</v>
      </c>
      <c r="D463" t="s">
        <v>37</v>
      </c>
      <c r="E463" t="s">
        <v>109</v>
      </c>
      <c r="F463" s="2">
        <f t="shared" si="35"/>
        <v>3522</v>
      </c>
      <c r="G463" s="1">
        <f t="shared" si="36"/>
        <v>375000</v>
      </c>
      <c r="H463" s="2">
        <f t="shared" si="37"/>
        <v>97</v>
      </c>
      <c r="I463" s="2">
        <f t="shared" si="38"/>
        <v>0</v>
      </c>
      <c r="J463">
        <f t="shared" si="39"/>
        <v>0</v>
      </c>
    </row>
    <row r="464" spans="1:10" x14ac:dyDescent="0.2">
      <c r="A464" t="s">
        <v>2948</v>
      </c>
      <c r="B464" t="s">
        <v>560</v>
      </c>
      <c r="C464" t="s">
        <v>2949</v>
      </c>
      <c r="D464" t="s">
        <v>974</v>
      </c>
      <c r="E464" t="s">
        <v>2950</v>
      </c>
      <c r="F464" s="2">
        <f t="shared" si="35"/>
        <v>3526</v>
      </c>
      <c r="G464" s="1">
        <f t="shared" si="36"/>
        <v>310000</v>
      </c>
      <c r="H464" s="2">
        <f t="shared" si="37"/>
        <v>97</v>
      </c>
      <c r="I464" s="2">
        <f t="shared" si="38"/>
        <v>7</v>
      </c>
      <c r="J464">
        <f t="shared" si="39"/>
        <v>134</v>
      </c>
    </row>
    <row r="465" spans="1:10" x14ac:dyDescent="0.2">
      <c r="A465" t="s">
        <v>425</v>
      </c>
      <c r="B465" t="s">
        <v>192</v>
      </c>
      <c r="C465" t="s">
        <v>426</v>
      </c>
      <c r="D465" t="s">
        <v>37</v>
      </c>
      <c r="E465" t="s">
        <v>427</v>
      </c>
      <c r="F465" s="2">
        <f t="shared" si="35"/>
        <v>3582</v>
      </c>
      <c r="G465" s="1">
        <f t="shared" si="36"/>
        <v>375000</v>
      </c>
      <c r="H465" s="2">
        <f t="shared" si="37"/>
        <v>98</v>
      </c>
      <c r="I465" s="2">
        <f t="shared" si="38"/>
        <v>0</v>
      </c>
      <c r="J465">
        <f t="shared" si="39"/>
        <v>0</v>
      </c>
    </row>
    <row r="466" spans="1:10" x14ac:dyDescent="0.2">
      <c r="A466" t="s">
        <v>690</v>
      </c>
      <c r="B466" t="s">
        <v>175</v>
      </c>
      <c r="C466" t="s">
        <v>691</v>
      </c>
      <c r="D466" t="s">
        <v>395</v>
      </c>
      <c r="E466" t="s">
        <v>692</v>
      </c>
      <c r="F466" s="2">
        <f t="shared" si="35"/>
        <v>3562</v>
      </c>
      <c r="G466" s="1">
        <f t="shared" si="36"/>
        <v>295000</v>
      </c>
      <c r="H466" s="2">
        <f t="shared" si="37"/>
        <v>98</v>
      </c>
      <c r="I466" s="2">
        <f t="shared" si="38"/>
        <v>0</v>
      </c>
      <c r="J466">
        <f t="shared" si="39"/>
        <v>0</v>
      </c>
    </row>
    <row r="467" spans="1:10" x14ac:dyDescent="0.2">
      <c r="A467" t="s">
        <v>1139</v>
      </c>
      <c r="B467" t="s">
        <v>560</v>
      </c>
      <c r="C467" t="s">
        <v>1140</v>
      </c>
      <c r="D467" t="s">
        <v>270</v>
      </c>
      <c r="E467" t="s">
        <v>427</v>
      </c>
      <c r="F467" s="2">
        <f t="shared" si="35"/>
        <v>3514</v>
      </c>
      <c r="G467" s="1">
        <f t="shared" si="36"/>
        <v>419000</v>
      </c>
      <c r="H467" s="2">
        <f t="shared" si="37"/>
        <v>98</v>
      </c>
      <c r="I467" s="2">
        <f t="shared" si="38"/>
        <v>0</v>
      </c>
      <c r="J467">
        <f t="shared" si="39"/>
        <v>0</v>
      </c>
    </row>
    <row r="468" spans="1:10" x14ac:dyDescent="0.2">
      <c r="A468" t="s">
        <v>1895</v>
      </c>
      <c r="B468" t="s">
        <v>143</v>
      </c>
      <c r="C468" t="s">
        <v>1896</v>
      </c>
      <c r="D468" t="s">
        <v>1225</v>
      </c>
      <c r="E468" t="s">
        <v>1897</v>
      </c>
      <c r="F468" s="2">
        <f t="shared" si="35"/>
        <v>3522</v>
      </c>
      <c r="G468" s="1">
        <f t="shared" si="36"/>
        <v>439000</v>
      </c>
      <c r="H468" s="2">
        <f t="shared" si="37"/>
        <v>98</v>
      </c>
      <c r="I468" s="2">
        <f t="shared" si="38"/>
        <v>7</v>
      </c>
      <c r="J468">
        <f t="shared" si="39"/>
        <v>91</v>
      </c>
    </row>
    <row r="469" spans="1:10" x14ac:dyDescent="0.2">
      <c r="A469" t="s">
        <v>2444</v>
      </c>
      <c r="B469" t="s">
        <v>513</v>
      </c>
      <c r="C469" t="s">
        <v>2445</v>
      </c>
      <c r="D469" t="s">
        <v>194</v>
      </c>
      <c r="E469" t="s">
        <v>427</v>
      </c>
      <c r="F469" s="2">
        <f t="shared" si="35"/>
        <v>3581</v>
      </c>
      <c r="G469" s="1">
        <f t="shared" si="36"/>
        <v>400000</v>
      </c>
      <c r="H469" s="2">
        <f t="shared" si="37"/>
        <v>98</v>
      </c>
      <c r="I469" s="2">
        <f t="shared" si="38"/>
        <v>0</v>
      </c>
      <c r="J469">
        <f t="shared" si="39"/>
        <v>0</v>
      </c>
    </row>
    <row r="470" spans="1:10" x14ac:dyDescent="0.2">
      <c r="A470" t="s">
        <v>2629</v>
      </c>
      <c r="B470" t="s">
        <v>157</v>
      </c>
      <c r="C470" t="s">
        <v>2630</v>
      </c>
      <c r="D470" t="s">
        <v>108</v>
      </c>
      <c r="E470" t="s">
        <v>2631</v>
      </c>
      <c r="F470" s="2">
        <f t="shared" si="35"/>
        <v>3523</v>
      </c>
      <c r="G470" s="1">
        <f t="shared" si="36"/>
        <v>350000</v>
      </c>
      <c r="H470" s="2">
        <f t="shared" si="37"/>
        <v>98</v>
      </c>
      <c r="I470" s="2">
        <f t="shared" si="38"/>
        <v>7</v>
      </c>
      <c r="J470">
        <f t="shared" si="39"/>
        <v>84</v>
      </c>
    </row>
    <row r="471" spans="1:10" x14ac:dyDescent="0.2">
      <c r="A471" t="s">
        <v>354</v>
      </c>
      <c r="B471" t="s">
        <v>355</v>
      </c>
      <c r="C471" t="s">
        <v>356</v>
      </c>
      <c r="D471" t="s">
        <v>347</v>
      </c>
      <c r="E471" t="s">
        <v>357</v>
      </c>
      <c r="F471" s="2">
        <f t="shared" si="35"/>
        <v>3544</v>
      </c>
      <c r="G471" s="1">
        <f t="shared" si="36"/>
        <v>315000</v>
      </c>
      <c r="H471" s="2">
        <f t="shared" si="37"/>
        <v>99</v>
      </c>
      <c r="I471" s="2">
        <f t="shared" si="38"/>
        <v>0</v>
      </c>
      <c r="J471">
        <f t="shared" si="39"/>
        <v>0</v>
      </c>
    </row>
    <row r="472" spans="1:10" x14ac:dyDescent="0.2">
      <c r="A472" t="s">
        <v>1577</v>
      </c>
      <c r="B472" t="s">
        <v>130</v>
      </c>
      <c r="C472" t="s">
        <v>1578</v>
      </c>
      <c r="D472" t="s">
        <v>1579</v>
      </c>
      <c r="E472" t="s">
        <v>357</v>
      </c>
      <c r="F472" s="2">
        <f t="shared" si="35"/>
        <v>3554</v>
      </c>
      <c r="G472" s="1">
        <f t="shared" si="36"/>
        <v>280000</v>
      </c>
      <c r="H472" s="2">
        <f t="shared" si="37"/>
        <v>99</v>
      </c>
      <c r="I472" s="2">
        <f t="shared" si="38"/>
        <v>0</v>
      </c>
      <c r="J472">
        <f t="shared" si="39"/>
        <v>0</v>
      </c>
    </row>
    <row r="473" spans="1:10" x14ac:dyDescent="0.2">
      <c r="A473" t="s">
        <v>1999</v>
      </c>
      <c r="B473" t="s">
        <v>259</v>
      </c>
      <c r="C473" t="s">
        <v>2000</v>
      </c>
      <c r="D473" t="s">
        <v>99</v>
      </c>
      <c r="E473" t="s">
        <v>357</v>
      </c>
      <c r="F473" s="2">
        <f t="shared" si="35"/>
        <v>3554</v>
      </c>
      <c r="G473" s="1">
        <f t="shared" si="36"/>
        <v>300000</v>
      </c>
      <c r="H473" s="2">
        <f t="shared" si="37"/>
        <v>99</v>
      </c>
      <c r="I473" s="2">
        <f t="shared" si="38"/>
        <v>0</v>
      </c>
      <c r="J473">
        <f t="shared" si="39"/>
        <v>0</v>
      </c>
    </row>
    <row r="474" spans="1:10" x14ac:dyDescent="0.2">
      <c r="A474" t="s">
        <v>2001</v>
      </c>
      <c r="B474" t="s">
        <v>55</v>
      </c>
      <c r="C474" t="s">
        <v>2002</v>
      </c>
      <c r="D474" t="s">
        <v>1129</v>
      </c>
      <c r="E474" t="s">
        <v>2003</v>
      </c>
      <c r="F474" s="2">
        <f t="shared" si="35"/>
        <v>3555</v>
      </c>
      <c r="G474" s="1">
        <f t="shared" si="36"/>
        <v>369000</v>
      </c>
      <c r="H474" s="2">
        <f t="shared" si="37"/>
        <v>99</v>
      </c>
      <c r="I474" s="2">
        <f t="shared" si="38"/>
        <v>7</v>
      </c>
      <c r="J474">
        <f t="shared" si="39"/>
        <v>117</v>
      </c>
    </row>
    <row r="475" spans="1:10" x14ac:dyDescent="0.2">
      <c r="A475" t="s">
        <v>2366</v>
      </c>
      <c r="B475" t="s">
        <v>264</v>
      </c>
      <c r="C475" t="s">
        <v>2367</v>
      </c>
      <c r="D475" t="s">
        <v>379</v>
      </c>
      <c r="E475" t="s">
        <v>2368</v>
      </c>
      <c r="F475" s="2">
        <f t="shared" si="35"/>
        <v>3553</v>
      </c>
      <c r="G475" s="1">
        <f t="shared" si="36"/>
        <v>275000</v>
      </c>
      <c r="H475" s="2">
        <f t="shared" si="37"/>
        <v>99</v>
      </c>
      <c r="I475" s="2">
        <f t="shared" si="38"/>
        <v>7</v>
      </c>
      <c r="J475">
        <f t="shared" si="39"/>
        <v>85</v>
      </c>
    </row>
    <row r="476" spans="1:10" x14ac:dyDescent="0.2">
      <c r="A476" t="s">
        <v>2614</v>
      </c>
      <c r="B476" t="s">
        <v>192</v>
      </c>
      <c r="C476" t="s">
        <v>2615</v>
      </c>
      <c r="D476" t="s">
        <v>2616</v>
      </c>
      <c r="E476" t="s">
        <v>357</v>
      </c>
      <c r="F476" s="2">
        <f t="shared" si="35"/>
        <v>3572</v>
      </c>
      <c r="G476" s="1">
        <f t="shared" si="36"/>
        <v>292500</v>
      </c>
      <c r="H476" s="2">
        <f t="shared" si="37"/>
        <v>99</v>
      </c>
      <c r="I476" s="2">
        <f t="shared" si="38"/>
        <v>0</v>
      </c>
      <c r="J476">
        <f t="shared" si="39"/>
        <v>0</v>
      </c>
    </row>
    <row r="477" spans="1:10" x14ac:dyDescent="0.2">
      <c r="A477" t="s">
        <v>2632</v>
      </c>
      <c r="B477" t="s">
        <v>575</v>
      </c>
      <c r="C477" t="s">
        <v>2633</v>
      </c>
      <c r="D477" t="s">
        <v>1931</v>
      </c>
      <c r="E477" t="s">
        <v>2634</v>
      </c>
      <c r="F477" s="2">
        <f t="shared" si="35"/>
        <v>3522</v>
      </c>
      <c r="G477" s="1">
        <f t="shared" si="36"/>
        <v>459000</v>
      </c>
      <c r="H477" s="2">
        <f t="shared" si="37"/>
        <v>99</v>
      </c>
      <c r="I477" s="2">
        <f t="shared" si="38"/>
        <v>7</v>
      </c>
      <c r="J477">
        <f t="shared" si="39"/>
        <v>68</v>
      </c>
    </row>
    <row r="478" spans="1:10" x14ac:dyDescent="0.2">
      <c r="A478" t="s">
        <v>2716</v>
      </c>
      <c r="B478" t="s">
        <v>50</v>
      </c>
      <c r="C478" t="s">
        <v>2717</v>
      </c>
      <c r="D478" t="s">
        <v>826</v>
      </c>
      <c r="E478" t="s">
        <v>2718</v>
      </c>
      <c r="F478" s="2">
        <f t="shared" si="35"/>
        <v>3515</v>
      </c>
      <c r="G478" s="1">
        <f t="shared" si="36"/>
        <v>445000</v>
      </c>
      <c r="H478" s="2">
        <f t="shared" si="37"/>
        <v>99</v>
      </c>
      <c r="I478" s="2">
        <f t="shared" si="38"/>
        <v>7</v>
      </c>
      <c r="J478">
        <f t="shared" si="39"/>
        <v>62</v>
      </c>
    </row>
    <row r="479" spans="1:10" x14ac:dyDescent="0.2">
      <c r="A479" t="s">
        <v>124</v>
      </c>
      <c r="B479" t="s">
        <v>125</v>
      </c>
      <c r="C479" t="s">
        <v>126</v>
      </c>
      <c r="D479" t="s">
        <v>127</v>
      </c>
      <c r="E479" t="s">
        <v>128</v>
      </c>
      <c r="F479" s="2">
        <f t="shared" si="35"/>
        <v>3572</v>
      </c>
      <c r="G479" s="1">
        <f t="shared" si="36"/>
        <v>485000</v>
      </c>
      <c r="H479" s="2">
        <f t="shared" si="37"/>
        <v>100</v>
      </c>
      <c r="I479" s="2">
        <f t="shared" si="38"/>
        <v>0</v>
      </c>
      <c r="J479">
        <f t="shared" si="39"/>
        <v>0</v>
      </c>
    </row>
    <row r="480" spans="1:10" x14ac:dyDescent="0.2">
      <c r="A480" t="s">
        <v>362</v>
      </c>
      <c r="B480" t="s">
        <v>175</v>
      </c>
      <c r="C480" t="s">
        <v>363</v>
      </c>
      <c r="D480" t="s">
        <v>347</v>
      </c>
      <c r="E480" t="s">
        <v>128</v>
      </c>
      <c r="F480" s="2">
        <f t="shared" si="35"/>
        <v>3551</v>
      </c>
      <c r="G480" s="1">
        <f t="shared" si="36"/>
        <v>315000</v>
      </c>
      <c r="H480" s="2">
        <f t="shared" si="37"/>
        <v>100</v>
      </c>
      <c r="I480" s="2">
        <f t="shared" si="38"/>
        <v>0</v>
      </c>
      <c r="J480">
        <f t="shared" si="39"/>
        <v>0</v>
      </c>
    </row>
    <row r="481" spans="1:10" x14ac:dyDescent="0.2">
      <c r="A481" t="s">
        <v>1070</v>
      </c>
      <c r="B481" t="s">
        <v>833</v>
      </c>
      <c r="C481" t="s">
        <v>1071</v>
      </c>
      <c r="D481" t="s">
        <v>1072</v>
      </c>
      <c r="E481" t="s">
        <v>1073</v>
      </c>
      <c r="F481" s="2">
        <f t="shared" si="35"/>
        <v>3525</v>
      </c>
      <c r="G481" s="1">
        <f t="shared" si="36"/>
        <v>405000</v>
      </c>
      <c r="H481" s="2">
        <f t="shared" si="37"/>
        <v>100</v>
      </c>
      <c r="I481" s="2">
        <f t="shared" si="38"/>
        <v>8</v>
      </c>
      <c r="J481">
        <f t="shared" si="39"/>
        <v>333</v>
      </c>
    </row>
    <row r="482" spans="1:10" x14ac:dyDescent="0.2">
      <c r="A482" t="s">
        <v>1400</v>
      </c>
      <c r="B482" t="s">
        <v>69</v>
      </c>
      <c r="C482" t="s">
        <v>1401</v>
      </c>
      <c r="D482" t="s">
        <v>331</v>
      </c>
      <c r="E482" t="s">
        <v>128</v>
      </c>
      <c r="F482" s="2">
        <f t="shared" si="35"/>
        <v>3515</v>
      </c>
      <c r="G482" s="1">
        <f t="shared" si="36"/>
        <v>389000</v>
      </c>
      <c r="H482" s="2">
        <f t="shared" si="37"/>
        <v>100</v>
      </c>
      <c r="I482" s="2">
        <f t="shared" si="38"/>
        <v>0</v>
      </c>
      <c r="J482">
        <f t="shared" si="39"/>
        <v>0</v>
      </c>
    </row>
    <row r="483" spans="1:10" x14ac:dyDescent="0.2">
      <c r="A483" t="s">
        <v>1610</v>
      </c>
      <c r="B483" t="s">
        <v>1014</v>
      </c>
      <c r="C483" t="s">
        <v>1611</v>
      </c>
      <c r="D483" t="s">
        <v>231</v>
      </c>
      <c r="E483" t="s">
        <v>1612</v>
      </c>
      <c r="F483" s="2">
        <f t="shared" si="35"/>
        <v>3566</v>
      </c>
      <c r="G483" s="1">
        <f t="shared" si="36"/>
        <v>745000</v>
      </c>
      <c r="H483" s="2">
        <f t="shared" si="37"/>
        <v>100</v>
      </c>
      <c r="I483" s="2">
        <f t="shared" si="38"/>
        <v>8</v>
      </c>
      <c r="J483">
        <f t="shared" si="39"/>
        <v>11455</v>
      </c>
    </row>
    <row r="484" spans="1:10" x14ac:dyDescent="0.2">
      <c r="A484" t="s">
        <v>1656</v>
      </c>
      <c r="B484" t="s">
        <v>306</v>
      </c>
      <c r="C484" t="s">
        <v>1657</v>
      </c>
      <c r="D484" t="s">
        <v>401</v>
      </c>
      <c r="E484" t="s">
        <v>128</v>
      </c>
      <c r="F484" s="2">
        <f t="shared" si="35"/>
        <v>3544</v>
      </c>
      <c r="G484" s="1">
        <f t="shared" si="36"/>
        <v>319000</v>
      </c>
      <c r="H484" s="2">
        <f t="shared" si="37"/>
        <v>100</v>
      </c>
      <c r="I484" s="2">
        <f t="shared" si="38"/>
        <v>0</v>
      </c>
      <c r="J484">
        <f t="shared" si="39"/>
        <v>0</v>
      </c>
    </row>
    <row r="485" spans="1:10" x14ac:dyDescent="0.2">
      <c r="A485" t="s">
        <v>1886</v>
      </c>
      <c r="B485" t="s">
        <v>342</v>
      </c>
      <c r="C485" t="s">
        <v>1887</v>
      </c>
      <c r="D485" t="s">
        <v>37</v>
      </c>
      <c r="E485" t="s">
        <v>1888</v>
      </c>
      <c r="F485" s="2">
        <f t="shared" si="35"/>
        <v>3521</v>
      </c>
      <c r="G485" s="1">
        <f t="shared" si="36"/>
        <v>375000</v>
      </c>
      <c r="H485" s="2">
        <f t="shared" si="37"/>
        <v>100</v>
      </c>
      <c r="I485" s="2">
        <f t="shared" si="38"/>
        <v>0</v>
      </c>
      <c r="J485">
        <f t="shared" si="39"/>
        <v>0</v>
      </c>
    </row>
    <row r="486" spans="1:10" x14ac:dyDescent="0.2">
      <c r="A486" t="s">
        <v>2109</v>
      </c>
      <c r="B486" t="s">
        <v>166</v>
      </c>
      <c r="C486" t="s">
        <v>2110</v>
      </c>
      <c r="D486" t="s">
        <v>395</v>
      </c>
      <c r="E486" t="s">
        <v>128</v>
      </c>
      <c r="F486" s="2">
        <f t="shared" si="35"/>
        <v>3555</v>
      </c>
      <c r="G486" s="1">
        <f t="shared" si="36"/>
        <v>295000</v>
      </c>
      <c r="H486" s="2">
        <f t="shared" si="37"/>
        <v>100</v>
      </c>
      <c r="I486" s="2">
        <f t="shared" si="38"/>
        <v>0</v>
      </c>
      <c r="J486">
        <f t="shared" si="39"/>
        <v>0</v>
      </c>
    </row>
    <row r="487" spans="1:10" x14ac:dyDescent="0.2">
      <c r="A487" t="s">
        <v>2127</v>
      </c>
      <c r="B487" t="s">
        <v>254</v>
      </c>
      <c r="C487" t="s">
        <v>2128</v>
      </c>
      <c r="D487" t="s">
        <v>1225</v>
      </c>
      <c r="E487" t="s">
        <v>2129</v>
      </c>
      <c r="F487" s="2">
        <f t="shared" si="35"/>
        <v>3521</v>
      </c>
      <c r="G487" s="1">
        <f t="shared" si="36"/>
        <v>439000</v>
      </c>
      <c r="H487" s="2">
        <f t="shared" si="37"/>
        <v>100</v>
      </c>
      <c r="I487" s="2">
        <f t="shared" si="38"/>
        <v>8</v>
      </c>
      <c r="J487">
        <f t="shared" si="39"/>
        <v>90</v>
      </c>
    </row>
    <row r="488" spans="1:10" x14ac:dyDescent="0.2">
      <c r="A488" t="s">
        <v>2297</v>
      </c>
      <c r="B488" t="s">
        <v>264</v>
      </c>
      <c r="C488" t="s">
        <v>2298</v>
      </c>
      <c r="D488" t="s">
        <v>2299</v>
      </c>
      <c r="E488" t="s">
        <v>2300</v>
      </c>
      <c r="F488" s="2">
        <f t="shared" si="35"/>
        <v>3554</v>
      </c>
      <c r="G488" s="1">
        <f t="shared" si="36"/>
        <v>298000</v>
      </c>
      <c r="H488" s="2">
        <f t="shared" si="37"/>
        <v>100</v>
      </c>
      <c r="I488" s="2">
        <f t="shared" si="38"/>
        <v>8</v>
      </c>
      <c r="J488">
        <f t="shared" si="39"/>
        <v>76</v>
      </c>
    </row>
    <row r="489" spans="1:10" x14ac:dyDescent="0.2">
      <c r="A489" t="s">
        <v>2396</v>
      </c>
      <c r="B489" t="s">
        <v>11</v>
      </c>
      <c r="C489" t="s">
        <v>2397</v>
      </c>
      <c r="D489" t="s">
        <v>99</v>
      </c>
      <c r="E489" t="s">
        <v>1888</v>
      </c>
      <c r="F489" s="2">
        <f t="shared" si="35"/>
        <v>3521</v>
      </c>
      <c r="G489" s="1">
        <f t="shared" si="36"/>
        <v>300000</v>
      </c>
      <c r="H489" s="2">
        <f t="shared" si="37"/>
        <v>100</v>
      </c>
      <c r="I489" s="2">
        <f t="shared" si="38"/>
        <v>0</v>
      </c>
      <c r="J489">
        <f t="shared" si="39"/>
        <v>0</v>
      </c>
    </row>
    <row r="490" spans="1:10" x14ac:dyDescent="0.2">
      <c r="A490" t="s">
        <v>2733</v>
      </c>
      <c r="B490" t="s">
        <v>417</v>
      </c>
      <c r="C490" t="s">
        <v>2734</v>
      </c>
      <c r="D490" t="s">
        <v>2735</v>
      </c>
      <c r="E490" t="s">
        <v>128</v>
      </c>
      <c r="F490" s="2">
        <f t="shared" si="35"/>
        <v>3582</v>
      </c>
      <c r="G490" s="1">
        <f t="shared" si="36"/>
        <v>430000</v>
      </c>
      <c r="H490" s="2">
        <f t="shared" si="37"/>
        <v>100</v>
      </c>
      <c r="I490" s="2">
        <f t="shared" si="38"/>
        <v>0</v>
      </c>
      <c r="J490">
        <f t="shared" si="39"/>
        <v>0</v>
      </c>
    </row>
    <row r="491" spans="1:10" x14ac:dyDescent="0.2">
      <c r="A491" t="s">
        <v>2750</v>
      </c>
      <c r="B491" t="s">
        <v>316</v>
      </c>
      <c r="C491" t="s">
        <v>2751</v>
      </c>
      <c r="D491" t="s">
        <v>706</v>
      </c>
      <c r="E491" t="s">
        <v>2752</v>
      </c>
      <c r="F491" s="2">
        <f t="shared" si="35"/>
        <v>3522</v>
      </c>
      <c r="G491" s="1">
        <f t="shared" si="36"/>
        <v>435000</v>
      </c>
      <c r="H491" s="2">
        <f t="shared" si="37"/>
        <v>100</v>
      </c>
      <c r="I491" s="2">
        <f t="shared" si="38"/>
        <v>8</v>
      </c>
      <c r="J491">
        <f t="shared" si="39"/>
        <v>102</v>
      </c>
    </row>
    <row r="492" spans="1:10" x14ac:dyDescent="0.2">
      <c r="A492" t="s">
        <v>147</v>
      </c>
      <c r="B492" t="s">
        <v>148</v>
      </c>
      <c r="C492" t="s">
        <v>149</v>
      </c>
      <c r="D492" t="s">
        <v>13</v>
      </c>
      <c r="E492" t="s">
        <v>150</v>
      </c>
      <c r="F492" s="2">
        <f t="shared" si="35"/>
        <v>3582</v>
      </c>
      <c r="G492" s="1">
        <f t="shared" si="36"/>
        <v>450000</v>
      </c>
      <c r="H492" s="2">
        <f t="shared" si="37"/>
        <v>101</v>
      </c>
      <c r="I492" s="2">
        <f t="shared" si="38"/>
        <v>8</v>
      </c>
      <c r="J492">
        <f t="shared" si="39"/>
        <v>82</v>
      </c>
    </row>
    <row r="493" spans="1:10" x14ac:dyDescent="0.2">
      <c r="A493" t="s">
        <v>413</v>
      </c>
      <c r="B493" t="s">
        <v>162</v>
      </c>
      <c r="C493" t="s">
        <v>414</v>
      </c>
      <c r="D493" t="s">
        <v>76</v>
      </c>
      <c r="E493" t="s">
        <v>415</v>
      </c>
      <c r="F493" s="2">
        <f t="shared" si="35"/>
        <v>3512</v>
      </c>
      <c r="G493" s="1">
        <f t="shared" si="36"/>
        <v>650000</v>
      </c>
      <c r="H493" s="2">
        <f t="shared" si="37"/>
        <v>101</v>
      </c>
      <c r="I493" s="2">
        <f t="shared" si="38"/>
        <v>0</v>
      </c>
      <c r="J493">
        <f t="shared" si="39"/>
        <v>0</v>
      </c>
    </row>
    <row r="494" spans="1:10" x14ac:dyDescent="0.2">
      <c r="A494" t="s">
        <v>435</v>
      </c>
      <c r="B494" t="s">
        <v>50</v>
      </c>
      <c r="C494" t="s">
        <v>436</v>
      </c>
      <c r="D494" t="s">
        <v>437</v>
      </c>
      <c r="E494" t="s">
        <v>438</v>
      </c>
      <c r="F494" s="2">
        <f t="shared" si="35"/>
        <v>3553</v>
      </c>
      <c r="G494" s="1">
        <f t="shared" si="36"/>
        <v>439500</v>
      </c>
      <c r="H494" s="2">
        <f t="shared" si="37"/>
        <v>101</v>
      </c>
      <c r="I494" s="2">
        <f t="shared" si="38"/>
        <v>8</v>
      </c>
      <c r="J494">
        <f t="shared" si="39"/>
        <v>118</v>
      </c>
    </row>
    <row r="495" spans="1:10" x14ac:dyDescent="0.2">
      <c r="A495" t="s">
        <v>636</v>
      </c>
      <c r="B495" t="s">
        <v>200</v>
      </c>
      <c r="C495" t="s">
        <v>637</v>
      </c>
      <c r="D495" t="s">
        <v>526</v>
      </c>
      <c r="E495" t="s">
        <v>638</v>
      </c>
      <c r="F495" s="2">
        <f t="shared" si="35"/>
        <v>3514</v>
      </c>
      <c r="G495" s="1">
        <f t="shared" si="36"/>
        <v>500000</v>
      </c>
      <c r="H495" s="2">
        <f t="shared" si="37"/>
        <v>101</v>
      </c>
      <c r="I495" s="2">
        <f t="shared" si="38"/>
        <v>8</v>
      </c>
      <c r="J495">
        <f t="shared" si="39"/>
        <v>50</v>
      </c>
    </row>
    <row r="496" spans="1:10" x14ac:dyDescent="0.2">
      <c r="A496" t="s">
        <v>841</v>
      </c>
      <c r="B496" t="s">
        <v>350</v>
      </c>
      <c r="C496" t="s">
        <v>842</v>
      </c>
      <c r="D496" t="s">
        <v>52</v>
      </c>
      <c r="E496" t="s">
        <v>843</v>
      </c>
      <c r="F496" s="2">
        <f t="shared" si="35"/>
        <v>3524</v>
      </c>
      <c r="G496" s="1">
        <f t="shared" si="36"/>
        <v>325000</v>
      </c>
      <c r="H496" s="2">
        <f t="shared" si="37"/>
        <v>101</v>
      </c>
      <c r="I496" s="2">
        <f t="shared" si="38"/>
        <v>8</v>
      </c>
      <c r="J496">
        <f t="shared" si="39"/>
        <v>140</v>
      </c>
    </row>
    <row r="497" spans="1:10" x14ac:dyDescent="0.2">
      <c r="A497" t="s">
        <v>1223</v>
      </c>
      <c r="B497" t="s">
        <v>143</v>
      </c>
      <c r="C497" t="s">
        <v>1224</v>
      </c>
      <c r="D497" t="s">
        <v>1225</v>
      </c>
      <c r="E497" t="s">
        <v>1226</v>
      </c>
      <c r="F497" s="2">
        <f t="shared" si="35"/>
        <v>3533</v>
      </c>
      <c r="G497" s="1">
        <f t="shared" si="36"/>
        <v>439000</v>
      </c>
      <c r="H497" s="2">
        <f t="shared" si="37"/>
        <v>101</v>
      </c>
      <c r="I497" s="2">
        <f t="shared" si="38"/>
        <v>8</v>
      </c>
      <c r="J497">
        <f t="shared" si="39"/>
        <v>134</v>
      </c>
    </row>
    <row r="498" spans="1:10" x14ac:dyDescent="0.2">
      <c r="A498" t="s">
        <v>1388</v>
      </c>
      <c r="B498" t="s">
        <v>50</v>
      </c>
      <c r="C498" t="s">
        <v>1389</v>
      </c>
      <c r="D498" t="s">
        <v>108</v>
      </c>
      <c r="E498" t="s">
        <v>1390</v>
      </c>
      <c r="F498" s="2">
        <f t="shared" si="35"/>
        <v>3572</v>
      </c>
      <c r="G498" s="1">
        <f t="shared" si="36"/>
        <v>350000</v>
      </c>
      <c r="H498" s="2">
        <f t="shared" si="37"/>
        <v>101</v>
      </c>
      <c r="I498" s="2">
        <f t="shared" si="38"/>
        <v>0</v>
      </c>
      <c r="J498">
        <f t="shared" si="39"/>
        <v>0</v>
      </c>
    </row>
    <row r="499" spans="1:10" x14ac:dyDescent="0.2">
      <c r="A499" t="s">
        <v>1748</v>
      </c>
      <c r="B499" t="s">
        <v>143</v>
      </c>
      <c r="C499" t="s">
        <v>1749</v>
      </c>
      <c r="D499" t="s">
        <v>1547</v>
      </c>
      <c r="E499" t="s">
        <v>1750</v>
      </c>
      <c r="F499" s="2">
        <f t="shared" si="35"/>
        <v>3524</v>
      </c>
      <c r="G499" s="1">
        <f t="shared" si="36"/>
        <v>290000</v>
      </c>
      <c r="H499" s="2">
        <f t="shared" si="37"/>
        <v>101</v>
      </c>
      <c r="I499" s="2">
        <f t="shared" si="38"/>
        <v>8</v>
      </c>
      <c r="J499">
        <f t="shared" si="39"/>
        <v>103</v>
      </c>
    </row>
    <row r="500" spans="1:10" x14ac:dyDescent="0.2">
      <c r="A500" t="s">
        <v>2030</v>
      </c>
      <c r="B500" t="s">
        <v>325</v>
      </c>
      <c r="C500" t="s">
        <v>2031</v>
      </c>
      <c r="D500" t="s">
        <v>2032</v>
      </c>
      <c r="E500" t="s">
        <v>150</v>
      </c>
      <c r="F500" s="2">
        <f t="shared" si="35"/>
        <v>3521</v>
      </c>
      <c r="G500" s="1">
        <f t="shared" si="36"/>
        <v>469000</v>
      </c>
      <c r="H500" s="2">
        <f t="shared" si="37"/>
        <v>101</v>
      </c>
      <c r="I500" s="2">
        <f t="shared" si="38"/>
        <v>8</v>
      </c>
      <c r="J500">
        <f t="shared" si="39"/>
        <v>82</v>
      </c>
    </row>
    <row r="501" spans="1:10" x14ac:dyDescent="0.2">
      <c r="A501" t="s">
        <v>2355</v>
      </c>
      <c r="B501" t="s">
        <v>166</v>
      </c>
      <c r="C501" t="s">
        <v>2356</v>
      </c>
      <c r="D501" t="s">
        <v>57</v>
      </c>
      <c r="E501" t="s">
        <v>1390</v>
      </c>
      <c r="F501" s="2">
        <f t="shared" si="35"/>
        <v>3524</v>
      </c>
      <c r="G501" s="1">
        <f t="shared" si="36"/>
        <v>225000</v>
      </c>
      <c r="H501" s="2">
        <f t="shared" si="37"/>
        <v>101</v>
      </c>
      <c r="I501" s="2">
        <f t="shared" si="38"/>
        <v>0</v>
      </c>
      <c r="J501">
        <f t="shared" si="39"/>
        <v>0</v>
      </c>
    </row>
    <row r="502" spans="1:10" x14ac:dyDescent="0.2">
      <c r="A502" t="s">
        <v>2454</v>
      </c>
      <c r="B502" t="s">
        <v>209</v>
      </c>
      <c r="C502" t="s">
        <v>2455</v>
      </c>
      <c r="D502" t="s">
        <v>2456</v>
      </c>
      <c r="E502" t="s">
        <v>2457</v>
      </c>
      <c r="F502" s="2">
        <f t="shared" si="35"/>
        <v>3524</v>
      </c>
      <c r="G502" s="1">
        <f t="shared" si="36"/>
        <v>279500</v>
      </c>
      <c r="H502" s="2">
        <f t="shared" si="37"/>
        <v>101</v>
      </c>
      <c r="I502" s="2">
        <f t="shared" si="38"/>
        <v>8</v>
      </c>
      <c r="J502">
        <f t="shared" si="39"/>
        <v>102</v>
      </c>
    </row>
    <row r="503" spans="1:10" x14ac:dyDescent="0.2">
      <c r="A503" t="s">
        <v>2552</v>
      </c>
      <c r="B503" t="s">
        <v>264</v>
      </c>
      <c r="C503" t="s">
        <v>2553</v>
      </c>
      <c r="D503" t="s">
        <v>331</v>
      </c>
      <c r="E503" t="s">
        <v>2554</v>
      </c>
      <c r="F503" s="2">
        <f t="shared" si="35"/>
        <v>3523</v>
      </c>
      <c r="G503" s="1">
        <f t="shared" si="36"/>
        <v>389000</v>
      </c>
      <c r="H503" s="2">
        <f t="shared" si="37"/>
        <v>101</v>
      </c>
      <c r="I503" s="2">
        <f t="shared" si="38"/>
        <v>8</v>
      </c>
      <c r="J503">
        <f t="shared" si="39"/>
        <v>51</v>
      </c>
    </row>
    <row r="504" spans="1:10" x14ac:dyDescent="0.2">
      <c r="A504" t="s">
        <v>2757</v>
      </c>
      <c r="B504" t="s">
        <v>524</v>
      </c>
      <c r="C504" t="s">
        <v>2758</v>
      </c>
      <c r="D504" t="s">
        <v>66</v>
      </c>
      <c r="E504" t="s">
        <v>1390</v>
      </c>
      <c r="F504" s="2">
        <f t="shared" si="35"/>
        <v>3511</v>
      </c>
      <c r="G504" s="1">
        <f t="shared" si="36"/>
        <v>349000</v>
      </c>
      <c r="H504" s="2">
        <f t="shared" si="37"/>
        <v>101</v>
      </c>
      <c r="I504" s="2">
        <f t="shared" si="38"/>
        <v>0</v>
      </c>
      <c r="J504">
        <f t="shared" si="39"/>
        <v>0</v>
      </c>
    </row>
    <row r="505" spans="1:10" x14ac:dyDescent="0.2">
      <c r="A505" t="s">
        <v>442</v>
      </c>
      <c r="B505" t="s">
        <v>192</v>
      </c>
      <c r="C505" t="s">
        <v>443</v>
      </c>
      <c r="D505" t="s">
        <v>444</v>
      </c>
      <c r="E505" t="s">
        <v>445</v>
      </c>
      <c r="F505" s="2">
        <f t="shared" si="35"/>
        <v>3526</v>
      </c>
      <c r="G505" s="1">
        <f t="shared" si="36"/>
        <v>200000</v>
      </c>
      <c r="H505" s="2">
        <f t="shared" si="37"/>
        <v>102</v>
      </c>
      <c r="I505" s="2">
        <f t="shared" si="38"/>
        <v>0</v>
      </c>
      <c r="J505">
        <f t="shared" si="39"/>
        <v>0</v>
      </c>
    </row>
    <row r="506" spans="1:10" x14ac:dyDescent="0.2">
      <c r="A506" t="s">
        <v>670</v>
      </c>
      <c r="B506" t="s">
        <v>316</v>
      </c>
      <c r="C506" t="s">
        <v>671</v>
      </c>
      <c r="D506" t="s">
        <v>672</v>
      </c>
      <c r="E506" t="s">
        <v>673</v>
      </c>
      <c r="F506" s="2">
        <f t="shared" si="35"/>
        <v>3533</v>
      </c>
      <c r="G506" s="1">
        <f t="shared" si="36"/>
        <v>480000</v>
      </c>
      <c r="H506" s="2">
        <f t="shared" si="37"/>
        <v>102</v>
      </c>
      <c r="I506" s="2">
        <f t="shared" si="38"/>
        <v>8</v>
      </c>
      <c r="J506">
        <f t="shared" si="39"/>
        <v>125</v>
      </c>
    </row>
    <row r="507" spans="1:10" x14ac:dyDescent="0.2">
      <c r="A507" t="s">
        <v>722</v>
      </c>
      <c r="B507" t="s">
        <v>245</v>
      </c>
      <c r="C507" t="s">
        <v>723</v>
      </c>
      <c r="D507" t="s">
        <v>706</v>
      </c>
      <c r="E507" t="s">
        <v>724</v>
      </c>
      <c r="F507" s="2">
        <f t="shared" si="35"/>
        <v>3531</v>
      </c>
      <c r="G507" s="1">
        <f t="shared" si="36"/>
        <v>435000</v>
      </c>
      <c r="H507" s="2">
        <f t="shared" si="37"/>
        <v>102</v>
      </c>
      <c r="I507" s="2">
        <f t="shared" si="38"/>
        <v>8</v>
      </c>
      <c r="J507">
        <f t="shared" si="39"/>
        <v>115</v>
      </c>
    </row>
    <row r="508" spans="1:10" x14ac:dyDescent="0.2">
      <c r="A508" t="s">
        <v>824</v>
      </c>
      <c r="B508" t="s">
        <v>350</v>
      </c>
      <c r="C508" t="s">
        <v>825</v>
      </c>
      <c r="D508" t="s">
        <v>826</v>
      </c>
      <c r="E508" t="s">
        <v>827</v>
      </c>
      <c r="F508" s="2">
        <f t="shared" si="35"/>
        <v>3523</v>
      </c>
      <c r="G508" s="1">
        <f t="shared" si="36"/>
        <v>445000</v>
      </c>
      <c r="H508" s="2">
        <f t="shared" si="37"/>
        <v>102</v>
      </c>
      <c r="I508" s="2">
        <f t="shared" si="38"/>
        <v>8</v>
      </c>
      <c r="J508">
        <f t="shared" si="39"/>
        <v>99</v>
      </c>
    </row>
    <row r="509" spans="1:10" x14ac:dyDescent="0.2">
      <c r="A509" t="s">
        <v>851</v>
      </c>
      <c r="B509" t="s">
        <v>125</v>
      </c>
      <c r="C509" t="s">
        <v>852</v>
      </c>
      <c r="D509" t="s">
        <v>177</v>
      </c>
      <c r="E509" t="s">
        <v>445</v>
      </c>
      <c r="F509" s="2">
        <f t="shared" si="35"/>
        <v>3514</v>
      </c>
      <c r="G509" s="1">
        <f t="shared" si="36"/>
        <v>395000</v>
      </c>
      <c r="H509" s="2">
        <f t="shared" si="37"/>
        <v>102</v>
      </c>
      <c r="I509" s="2">
        <f t="shared" si="38"/>
        <v>0</v>
      </c>
      <c r="J509">
        <f t="shared" si="39"/>
        <v>0</v>
      </c>
    </row>
    <row r="510" spans="1:10" x14ac:dyDescent="0.2">
      <c r="A510" t="s">
        <v>1154</v>
      </c>
      <c r="B510" t="s">
        <v>6</v>
      </c>
      <c r="C510" t="s">
        <v>1155</v>
      </c>
      <c r="D510" t="s">
        <v>159</v>
      </c>
      <c r="E510" t="s">
        <v>1156</v>
      </c>
      <c r="F510" s="2">
        <f t="shared" si="35"/>
        <v>3531</v>
      </c>
      <c r="G510" s="1">
        <f t="shared" si="36"/>
        <v>425000</v>
      </c>
      <c r="H510" s="2">
        <f t="shared" si="37"/>
        <v>102</v>
      </c>
      <c r="I510" s="2">
        <f t="shared" si="38"/>
        <v>8</v>
      </c>
      <c r="J510">
        <f t="shared" si="39"/>
        <v>75</v>
      </c>
    </row>
    <row r="511" spans="1:10" x14ac:dyDescent="0.2">
      <c r="A511" t="s">
        <v>1356</v>
      </c>
      <c r="B511" t="s">
        <v>69</v>
      </c>
      <c r="C511" t="s">
        <v>1357</v>
      </c>
      <c r="D511" t="s">
        <v>1358</v>
      </c>
      <c r="E511" t="s">
        <v>1359</v>
      </c>
      <c r="F511" s="2">
        <f t="shared" si="35"/>
        <v>3553</v>
      </c>
      <c r="G511" s="1">
        <f t="shared" si="36"/>
        <v>359000</v>
      </c>
      <c r="H511" s="2">
        <f t="shared" si="37"/>
        <v>102</v>
      </c>
      <c r="I511" s="2">
        <f t="shared" si="38"/>
        <v>8</v>
      </c>
      <c r="J511">
        <f t="shared" si="39"/>
        <v>99</v>
      </c>
    </row>
    <row r="512" spans="1:10" x14ac:dyDescent="0.2">
      <c r="A512" t="s">
        <v>1499</v>
      </c>
      <c r="B512" t="s">
        <v>536</v>
      </c>
      <c r="C512" t="s">
        <v>1500</v>
      </c>
      <c r="D512" t="s">
        <v>37</v>
      </c>
      <c r="E512" t="s">
        <v>1501</v>
      </c>
      <c r="F512" s="2">
        <f t="shared" si="35"/>
        <v>3514</v>
      </c>
      <c r="G512" s="1">
        <f t="shared" si="36"/>
        <v>375000</v>
      </c>
      <c r="H512" s="2">
        <f t="shared" si="37"/>
        <v>102</v>
      </c>
      <c r="I512" s="2">
        <f t="shared" si="38"/>
        <v>0</v>
      </c>
      <c r="J512">
        <f t="shared" si="39"/>
        <v>0</v>
      </c>
    </row>
    <row r="513" spans="1:10" x14ac:dyDescent="0.2">
      <c r="A513" t="s">
        <v>1689</v>
      </c>
      <c r="B513" t="s">
        <v>306</v>
      </c>
      <c r="C513" t="s">
        <v>1690</v>
      </c>
      <c r="D513" t="s">
        <v>379</v>
      </c>
      <c r="E513" t="s">
        <v>1691</v>
      </c>
      <c r="F513" s="2">
        <f t="shared" si="35"/>
        <v>3561</v>
      </c>
      <c r="G513" s="1">
        <f t="shared" si="36"/>
        <v>275000</v>
      </c>
      <c r="H513" s="2">
        <f t="shared" si="37"/>
        <v>102</v>
      </c>
      <c r="I513" s="2">
        <f t="shared" si="38"/>
        <v>0</v>
      </c>
      <c r="J513">
        <f t="shared" si="39"/>
        <v>0</v>
      </c>
    </row>
    <row r="514" spans="1:10" x14ac:dyDescent="0.2">
      <c r="A514" t="s">
        <v>2730</v>
      </c>
      <c r="B514" t="s">
        <v>259</v>
      </c>
      <c r="C514" t="s">
        <v>2731</v>
      </c>
      <c r="D514" t="s">
        <v>2732</v>
      </c>
      <c r="E514" t="s">
        <v>445</v>
      </c>
      <c r="F514" s="2">
        <f t="shared" ref="F514:F552" si="40">VALUE(LEFT(RIGHT(C514,15),4))</f>
        <v>3521</v>
      </c>
      <c r="G514" s="1">
        <f t="shared" ref="G514:G577" si="41">VALUE(MID(D514,3,FIND(" ",D514,3)-3))</f>
        <v>330000</v>
      </c>
      <c r="H514" s="2">
        <f t="shared" ref="H514:H577" si="42">VALUE(LEFT(E514,FIND(" ",E514,1)-1))</f>
        <v>102</v>
      </c>
      <c r="I514" s="2">
        <f t="shared" ref="I514:I577" si="43">IFERROR(FIND("/",E514,1),0)</f>
        <v>0</v>
      </c>
      <c r="J514">
        <f t="shared" ref="J514:J577" si="44">IF(I514=0,0,VALUE(MID(E514,FIND("/",E514,1)+2,(FIND(" ",E514,FIND("/",E514,1)+2)-(FIND("/",E514,1))-1))))</f>
        <v>0</v>
      </c>
    </row>
    <row r="515" spans="1:10" x14ac:dyDescent="0.2">
      <c r="A515" t="s">
        <v>2736</v>
      </c>
      <c r="B515" t="s">
        <v>209</v>
      </c>
      <c r="C515" t="s">
        <v>2737</v>
      </c>
      <c r="D515" t="s">
        <v>423</v>
      </c>
      <c r="E515" t="s">
        <v>2738</v>
      </c>
      <c r="F515" s="2">
        <f t="shared" si="40"/>
        <v>3524</v>
      </c>
      <c r="G515" s="1">
        <f t="shared" si="41"/>
        <v>385000</v>
      </c>
      <c r="H515" s="2">
        <f t="shared" si="42"/>
        <v>102</v>
      </c>
      <c r="I515" s="2">
        <f t="shared" si="43"/>
        <v>8</v>
      </c>
      <c r="J515">
        <f t="shared" si="44"/>
        <v>110</v>
      </c>
    </row>
    <row r="516" spans="1:10" x14ac:dyDescent="0.2">
      <c r="A516" t="s">
        <v>10</v>
      </c>
      <c r="B516" t="s">
        <v>11</v>
      </c>
      <c r="C516" t="s">
        <v>12</v>
      </c>
      <c r="D516" t="s">
        <v>13</v>
      </c>
      <c r="E516" t="s">
        <v>14</v>
      </c>
      <c r="F516" s="2">
        <f t="shared" si="40"/>
        <v>3581</v>
      </c>
      <c r="G516" s="1">
        <f t="shared" si="41"/>
        <v>450000</v>
      </c>
      <c r="H516" s="2">
        <f t="shared" si="42"/>
        <v>103</v>
      </c>
      <c r="I516" s="2">
        <f t="shared" si="43"/>
        <v>8</v>
      </c>
      <c r="J516">
        <f t="shared" si="44"/>
        <v>59</v>
      </c>
    </row>
    <row r="517" spans="1:10" x14ac:dyDescent="0.2">
      <c r="A517" t="s">
        <v>174</v>
      </c>
      <c r="B517" t="s">
        <v>175</v>
      </c>
      <c r="C517" t="s">
        <v>176</v>
      </c>
      <c r="D517" t="s">
        <v>177</v>
      </c>
      <c r="E517" t="s">
        <v>178</v>
      </c>
      <c r="F517" s="2">
        <f t="shared" si="40"/>
        <v>3553</v>
      </c>
      <c r="G517" s="1">
        <f t="shared" si="41"/>
        <v>395000</v>
      </c>
      <c r="H517" s="2">
        <f t="shared" si="42"/>
        <v>103</v>
      </c>
      <c r="I517" s="2">
        <f t="shared" si="43"/>
        <v>8</v>
      </c>
      <c r="J517">
        <f t="shared" si="44"/>
        <v>76</v>
      </c>
    </row>
    <row r="518" spans="1:10" x14ac:dyDescent="0.2">
      <c r="A518" t="s">
        <v>548</v>
      </c>
      <c r="B518" t="s">
        <v>192</v>
      </c>
      <c r="C518" t="s">
        <v>549</v>
      </c>
      <c r="D518" t="s">
        <v>37</v>
      </c>
      <c r="E518" t="s">
        <v>550</v>
      </c>
      <c r="F518" s="2">
        <f t="shared" si="40"/>
        <v>3514</v>
      </c>
      <c r="G518" s="1">
        <f t="shared" si="41"/>
        <v>375000</v>
      </c>
      <c r="H518" s="2">
        <f t="shared" si="42"/>
        <v>103</v>
      </c>
      <c r="I518" s="2">
        <f t="shared" si="43"/>
        <v>0</v>
      </c>
      <c r="J518">
        <f t="shared" si="44"/>
        <v>0</v>
      </c>
    </row>
    <row r="519" spans="1:10" x14ac:dyDescent="0.2">
      <c r="A519" t="s">
        <v>782</v>
      </c>
      <c r="B519" t="s">
        <v>377</v>
      </c>
      <c r="C519" t="s">
        <v>783</v>
      </c>
      <c r="D519" t="s">
        <v>99</v>
      </c>
      <c r="E519" t="s">
        <v>784</v>
      </c>
      <c r="F519" s="2">
        <f t="shared" si="40"/>
        <v>3534</v>
      </c>
      <c r="G519" s="1">
        <f t="shared" si="41"/>
        <v>300000</v>
      </c>
      <c r="H519" s="2">
        <f t="shared" si="42"/>
        <v>103</v>
      </c>
      <c r="I519" s="2">
        <f t="shared" si="43"/>
        <v>8</v>
      </c>
      <c r="J519">
        <f t="shared" si="44"/>
        <v>91</v>
      </c>
    </row>
    <row r="520" spans="1:10" x14ac:dyDescent="0.2">
      <c r="A520" t="s">
        <v>946</v>
      </c>
      <c r="B520" t="s">
        <v>209</v>
      </c>
      <c r="C520" t="s">
        <v>947</v>
      </c>
      <c r="D520" t="s">
        <v>331</v>
      </c>
      <c r="E520" t="s">
        <v>948</v>
      </c>
      <c r="F520" s="2">
        <f t="shared" si="40"/>
        <v>3523</v>
      </c>
      <c r="G520" s="1">
        <f t="shared" si="41"/>
        <v>389000</v>
      </c>
      <c r="H520" s="2">
        <f t="shared" si="42"/>
        <v>103</v>
      </c>
      <c r="I520" s="2">
        <f t="shared" si="43"/>
        <v>8</v>
      </c>
      <c r="J520">
        <f t="shared" si="44"/>
        <v>92</v>
      </c>
    </row>
    <row r="521" spans="1:10" x14ac:dyDescent="0.2">
      <c r="A521" t="s">
        <v>1240</v>
      </c>
      <c r="B521" t="s">
        <v>254</v>
      </c>
      <c r="C521" t="s">
        <v>1241</v>
      </c>
      <c r="D521" t="s">
        <v>526</v>
      </c>
      <c r="E521" t="s">
        <v>1242</v>
      </c>
      <c r="F521" s="2">
        <f t="shared" si="40"/>
        <v>3533</v>
      </c>
      <c r="G521" s="1">
        <f t="shared" si="41"/>
        <v>500000</v>
      </c>
      <c r="H521" s="2">
        <f t="shared" si="42"/>
        <v>103</v>
      </c>
      <c r="I521" s="2">
        <f t="shared" si="43"/>
        <v>8</v>
      </c>
      <c r="J521">
        <f t="shared" si="44"/>
        <v>115</v>
      </c>
    </row>
    <row r="522" spans="1:10" x14ac:dyDescent="0.2">
      <c r="A522" t="s">
        <v>1309</v>
      </c>
      <c r="B522" t="s">
        <v>21</v>
      </c>
      <c r="C522" t="s">
        <v>1310</v>
      </c>
      <c r="D522" t="s">
        <v>855</v>
      </c>
      <c r="E522" t="s">
        <v>1311</v>
      </c>
      <c r="F522" s="2">
        <f t="shared" si="40"/>
        <v>3514</v>
      </c>
      <c r="G522" s="1">
        <f t="shared" si="41"/>
        <v>495000</v>
      </c>
      <c r="H522" s="2">
        <f t="shared" si="42"/>
        <v>103</v>
      </c>
      <c r="I522" s="2">
        <f t="shared" si="43"/>
        <v>0</v>
      </c>
      <c r="J522">
        <f t="shared" si="44"/>
        <v>0</v>
      </c>
    </row>
    <row r="523" spans="1:10" x14ac:dyDescent="0.2">
      <c r="A523" t="s">
        <v>1439</v>
      </c>
      <c r="B523" t="s">
        <v>264</v>
      </c>
      <c r="C523" t="s">
        <v>1440</v>
      </c>
      <c r="D523" t="s">
        <v>13</v>
      </c>
      <c r="E523" t="s">
        <v>1441</v>
      </c>
      <c r="F523" s="2">
        <f t="shared" si="40"/>
        <v>3513</v>
      </c>
      <c r="G523" s="1">
        <f t="shared" si="41"/>
        <v>450000</v>
      </c>
      <c r="H523" s="2">
        <f t="shared" si="42"/>
        <v>103</v>
      </c>
      <c r="I523" s="2">
        <f t="shared" si="43"/>
        <v>8</v>
      </c>
      <c r="J523">
        <f t="shared" si="44"/>
        <v>77</v>
      </c>
    </row>
    <row r="524" spans="1:10" x14ac:dyDescent="0.2">
      <c r="A524" t="s">
        <v>1571</v>
      </c>
      <c r="B524" t="s">
        <v>40</v>
      </c>
      <c r="C524" t="s">
        <v>1572</v>
      </c>
      <c r="D524" t="s">
        <v>1573</v>
      </c>
      <c r="E524" t="s">
        <v>1311</v>
      </c>
      <c r="F524" s="2">
        <f t="shared" si="40"/>
        <v>3526</v>
      </c>
      <c r="G524" s="1">
        <f t="shared" si="41"/>
        <v>219500</v>
      </c>
      <c r="H524" s="2">
        <f t="shared" si="42"/>
        <v>103</v>
      </c>
      <c r="I524" s="2">
        <f t="shared" si="43"/>
        <v>0</v>
      </c>
      <c r="J524">
        <f t="shared" si="44"/>
        <v>0</v>
      </c>
    </row>
    <row r="525" spans="1:10" x14ac:dyDescent="0.2">
      <c r="A525" t="s">
        <v>2338</v>
      </c>
      <c r="B525" t="s">
        <v>259</v>
      </c>
      <c r="C525" t="s">
        <v>2339</v>
      </c>
      <c r="D525" t="s">
        <v>159</v>
      </c>
      <c r="E525" t="s">
        <v>2340</v>
      </c>
      <c r="F525" s="2">
        <f t="shared" si="40"/>
        <v>3525</v>
      </c>
      <c r="G525" s="1">
        <f t="shared" si="41"/>
        <v>425000</v>
      </c>
      <c r="H525" s="2">
        <f t="shared" si="42"/>
        <v>103</v>
      </c>
      <c r="I525" s="2">
        <f t="shared" si="43"/>
        <v>8</v>
      </c>
      <c r="J525">
        <f t="shared" si="44"/>
        <v>122</v>
      </c>
    </row>
    <row r="526" spans="1:10" x14ac:dyDescent="0.2">
      <c r="A526" t="s">
        <v>2635</v>
      </c>
      <c r="B526" t="s">
        <v>325</v>
      </c>
      <c r="C526" t="s">
        <v>2636</v>
      </c>
      <c r="D526" t="s">
        <v>194</v>
      </c>
      <c r="E526" t="s">
        <v>1311</v>
      </c>
      <c r="F526" s="2">
        <f t="shared" si="40"/>
        <v>3571</v>
      </c>
      <c r="G526" s="1">
        <f t="shared" si="41"/>
        <v>400000</v>
      </c>
      <c r="H526" s="2">
        <f t="shared" si="42"/>
        <v>103</v>
      </c>
      <c r="I526" s="2">
        <f t="shared" si="43"/>
        <v>0</v>
      </c>
      <c r="J526">
        <f t="shared" si="44"/>
        <v>0</v>
      </c>
    </row>
    <row r="527" spans="1:10" x14ac:dyDescent="0.2">
      <c r="A527" t="s">
        <v>2815</v>
      </c>
      <c r="B527" t="s">
        <v>575</v>
      </c>
      <c r="C527" t="s">
        <v>2816</v>
      </c>
      <c r="D527" t="s">
        <v>159</v>
      </c>
      <c r="E527" t="s">
        <v>1311</v>
      </c>
      <c r="F527" s="2">
        <f t="shared" si="40"/>
        <v>3522</v>
      </c>
      <c r="G527" s="1">
        <f t="shared" si="41"/>
        <v>425000</v>
      </c>
      <c r="H527" s="2">
        <f t="shared" si="42"/>
        <v>103</v>
      </c>
      <c r="I527" s="2">
        <f t="shared" si="43"/>
        <v>0</v>
      </c>
      <c r="J527">
        <f t="shared" si="44"/>
        <v>0</v>
      </c>
    </row>
    <row r="528" spans="1:10" x14ac:dyDescent="0.2">
      <c r="A528" t="s">
        <v>2860</v>
      </c>
      <c r="B528" t="s">
        <v>45</v>
      </c>
      <c r="C528" t="s">
        <v>2861</v>
      </c>
      <c r="D528" t="s">
        <v>808</v>
      </c>
      <c r="E528" t="s">
        <v>1311</v>
      </c>
      <c r="F528" s="2">
        <f t="shared" si="40"/>
        <v>3582</v>
      </c>
      <c r="G528" s="1">
        <f t="shared" si="41"/>
        <v>599000</v>
      </c>
      <c r="H528" s="2">
        <f t="shared" si="42"/>
        <v>103</v>
      </c>
      <c r="I528" s="2">
        <f t="shared" si="43"/>
        <v>0</v>
      </c>
      <c r="J528">
        <f t="shared" si="44"/>
        <v>0</v>
      </c>
    </row>
    <row r="529" spans="1:10" x14ac:dyDescent="0.2">
      <c r="A529" t="s">
        <v>517</v>
      </c>
      <c r="B529" t="s">
        <v>513</v>
      </c>
      <c r="C529" t="s">
        <v>518</v>
      </c>
      <c r="D529" t="s">
        <v>251</v>
      </c>
      <c r="E529" t="s">
        <v>519</v>
      </c>
      <c r="F529" s="2">
        <f t="shared" si="40"/>
        <v>3564</v>
      </c>
      <c r="G529" s="1">
        <f t="shared" si="41"/>
        <v>270000</v>
      </c>
      <c r="H529" s="2">
        <f t="shared" si="42"/>
        <v>104</v>
      </c>
      <c r="I529" s="2">
        <f t="shared" si="43"/>
        <v>0</v>
      </c>
      <c r="J529">
        <f t="shared" si="44"/>
        <v>0</v>
      </c>
    </row>
    <row r="530" spans="1:10" x14ac:dyDescent="0.2">
      <c r="A530" t="s">
        <v>1102</v>
      </c>
      <c r="B530" t="s">
        <v>325</v>
      </c>
      <c r="C530" t="s">
        <v>1103</v>
      </c>
      <c r="D530" t="s">
        <v>37</v>
      </c>
      <c r="E530" t="s">
        <v>519</v>
      </c>
      <c r="F530" s="2">
        <f t="shared" si="40"/>
        <v>3532</v>
      </c>
      <c r="G530" s="1">
        <f t="shared" si="41"/>
        <v>375000</v>
      </c>
      <c r="H530" s="2">
        <f t="shared" si="42"/>
        <v>104</v>
      </c>
      <c r="I530" s="2">
        <f t="shared" si="43"/>
        <v>0</v>
      </c>
      <c r="J530">
        <f t="shared" si="44"/>
        <v>0</v>
      </c>
    </row>
    <row r="531" spans="1:10" x14ac:dyDescent="0.2">
      <c r="A531" t="s">
        <v>1202</v>
      </c>
      <c r="B531" t="s">
        <v>513</v>
      </c>
      <c r="C531" t="s">
        <v>1203</v>
      </c>
      <c r="D531" t="s">
        <v>251</v>
      </c>
      <c r="E531" t="s">
        <v>519</v>
      </c>
      <c r="F531" s="2">
        <f t="shared" si="40"/>
        <v>3564</v>
      </c>
      <c r="G531" s="1">
        <f t="shared" si="41"/>
        <v>270000</v>
      </c>
      <c r="H531" s="2">
        <f t="shared" si="42"/>
        <v>104</v>
      </c>
      <c r="I531" s="2">
        <f t="shared" si="43"/>
        <v>0</v>
      </c>
      <c r="J531">
        <f t="shared" si="44"/>
        <v>0</v>
      </c>
    </row>
    <row r="532" spans="1:10" x14ac:dyDescent="0.2">
      <c r="A532" t="s">
        <v>1417</v>
      </c>
      <c r="B532" t="s">
        <v>69</v>
      </c>
      <c r="C532" t="s">
        <v>1418</v>
      </c>
      <c r="D532" t="s">
        <v>99</v>
      </c>
      <c r="E532" t="s">
        <v>1419</v>
      </c>
      <c r="F532" s="2">
        <f t="shared" si="40"/>
        <v>3554</v>
      </c>
      <c r="G532" s="1">
        <f t="shared" si="41"/>
        <v>300000</v>
      </c>
      <c r="H532" s="2">
        <f t="shared" si="42"/>
        <v>104</v>
      </c>
      <c r="I532" s="2">
        <f t="shared" si="43"/>
        <v>8</v>
      </c>
      <c r="J532">
        <f t="shared" si="44"/>
        <v>122</v>
      </c>
    </row>
    <row r="533" spans="1:10" x14ac:dyDescent="0.2">
      <c r="A533" t="s">
        <v>1476</v>
      </c>
      <c r="B533" t="s">
        <v>45</v>
      </c>
      <c r="C533" t="s">
        <v>1477</v>
      </c>
      <c r="D533" t="s">
        <v>1478</v>
      </c>
      <c r="E533" t="s">
        <v>519</v>
      </c>
      <c r="F533" s="2">
        <f t="shared" si="40"/>
        <v>3532</v>
      </c>
      <c r="G533" s="1">
        <f t="shared" si="41"/>
        <v>357000</v>
      </c>
      <c r="H533" s="2">
        <f t="shared" si="42"/>
        <v>104</v>
      </c>
      <c r="I533" s="2">
        <f t="shared" si="43"/>
        <v>0</v>
      </c>
      <c r="J533">
        <f t="shared" si="44"/>
        <v>0</v>
      </c>
    </row>
    <row r="534" spans="1:10" x14ac:dyDescent="0.2">
      <c r="A534" t="s">
        <v>1871</v>
      </c>
      <c r="B534" t="s">
        <v>204</v>
      </c>
      <c r="C534" t="s">
        <v>1872</v>
      </c>
      <c r="D534" t="s">
        <v>108</v>
      </c>
      <c r="E534" t="s">
        <v>1873</v>
      </c>
      <c r="F534" s="2">
        <f t="shared" si="40"/>
        <v>3573</v>
      </c>
      <c r="G534" s="1">
        <f t="shared" si="41"/>
        <v>350000</v>
      </c>
      <c r="H534" s="2">
        <f t="shared" si="42"/>
        <v>104</v>
      </c>
      <c r="I534" s="2">
        <f t="shared" si="43"/>
        <v>8</v>
      </c>
      <c r="J534">
        <f t="shared" si="44"/>
        <v>192</v>
      </c>
    </row>
    <row r="535" spans="1:10" x14ac:dyDescent="0.2">
      <c r="A535" t="s">
        <v>2315</v>
      </c>
      <c r="B535" t="s">
        <v>157</v>
      </c>
      <c r="C535" t="s">
        <v>2316</v>
      </c>
      <c r="D535" t="s">
        <v>194</v>
      </c>
      <c r="E535" t="s">
        <v>2317</v>
      </c>
      <c r="F535" s="2">
        <f t="shared" si="40"/>
        <v>3523</v>
      </c>
      <c r="G535" s="1">
        <f t="shared" si="41"/>
        <v>400000</v>
      </c>
      <c r="H535" s="2">
        <f t="shared" si="42"/>
        <v>104</v>
      </c>
      <c r="I535" s="2">
        <f t="shared" si="43"/>
        <v>8</v>
      </c>
      <c r="J535">
        <f t="shared" si="44"/>
        <v>116</v>
      </c>
    </row>
    <row r="536" spans="1:10" x14ac:dyDescent="0.2">
      <c r="A536" t="s">
        <v>2511</v>
      </c>
      <c r="B536" t="s">
        <v>377</v>
      </c>
      <c r="C536" t="s">
        <v>2512</v>
      </c>
      <c r="D536" t="s">
        <v>430</v>
      </c>
      <c r="E536" t="s">
        <v>519</v>
      </c>
      <c r="F536" s="2">
        <f t="shared" si="40"/>
        <v>3533</v>
      </c>
      <c r="G536" s="1">
        <f t="shared" si="41"/>
        <v>250000</v>
      </c>
      <c r="H536" s="2">
        <f t="shared" si="42"/>
        <v>104</v>
      </c>
      <c r="I536" s="2">
        <f t="shared" si="43"/>
        <v>0</v>
      </c>
      <c r="J536">
        <f t="shared" si="44"/>
        <v>0</v>
      </c>
    </row>
    <row r="537" spans="1:10" x14ac:dyDescent="0.2">
      <c r="A537" t="s">
        <v>2696</v>
      </c>
      <c r="B537" t="s">
        <v>55</v>
      </c>
      <c r="C537" t="s">
        <v>2697</v>
      </c>
      <c r="D537" t="s">
        <v>194</v>
      </c>
      <c r="E537" t="s">
        <v>2698</v>
      </c>
      <c r="F537" s="2">
        <f t="shared" si="40"/>
        <v>3512</v>
      </c>
      <c r="G537" s="1">
        <f t="shared" si="41"/>
        <v>400000</v>
      </c>
      <c r="H537" s="2">
        <f t="shared" si="42"/>
        <v>104</v>
      </c>
      <c r="I537" s="2">
        <f t="shared" si="43"/>
        <v>8</v>
      </c>
      <c r="J537">
        <f t="shared" si="44"/>
        <v>43</v>
      </c>
    </row>
    <row r="538" spans="1:10" x14ac:dyDescent="0.2">
      <c r="A538" t="s">
        <v>2882</v>
      </c>
      <c r="B538" t="s">
        <v>316</v>
      </c>
      <c r="C538" t="s">
        <v>2883</v>
      </c>
      <c r="D538" t="s">
        <v>679</v>
      </c>
      <c r="E538" t="s">
        <v>2884</v>
      </c>
      <c r="F538" s="2">
        <f t="shared" si="40"/>
        <v>3527</v>
      </c>
      <c r="G538" s="1">
        <f t="shared" si="41"/>
        <v>335000</v>
      </c>
      <c r="H538" s="2">
        <f t="shared" si="42"/>
        <v>104</v>
      </c>
      <c r="I538" s="2">
        <f t="shared" si="43"/>
        <v>8</v>
      </c>
      <c r="J538">
        <f t="shared" si="44"/>
        <v>168</v>
      </c>
    </row>
    <row r="539" spans="1:10" x14ac:dyDescent="0.2">
      <c r="A539" t="s">
        <v>25</v>
      </c>
      <c r="B539" t="s">
        <v>26</v>
      </c>
      <c r="C539" t="s">
        <v>27</v>
      </c>
      <c r="D539" t="s">
        <v>28</v>
      </c>
      <c r="E539" t="s">
        <v>29</v>
      </c>
      <c r="F539" s="2">
        <f t="shared" si="40"/>
        <v>3513</v>
      </c>
      <c r="G539" s="1">
        <f t="shared" si="41"/>
        <v>420000</v>
      </c>
      <c r="H539" s="2">
        <f t="shared" si="42"/>
        <v>105</v>
      </c>
      <c r="I539" s="2">
        <f t="shared" si="43"/>
        <v>0</v>
      </c>
      <c r="J539">
        <f t="shared" si="44"/>
        <v>0</v>
      </c>
    </row>
    <row r="540" spans="1:10" x14ac:dyDescent="0.2">
      <c r="A540" t="s">
        <v>196</v>
      </c>
      <c r="B540" t="s">
        <v>162</v>
      </c>
      <c r="C540" t="s">
        <v>197</v>
      </c>
      <c r="D540" t="s">
        <v>13</v>
      </c>
      <c r="E540" t="s">
        <v>198</v>
      </c>
      <c r="F540" s="2">
        <f t="shared" si="40"/>
        <v>3572</v>
      </c>
      <c r="G540" s="1">
        <f t="shared" si="41"/>
        <v>450000</v>
      </c>
      <c r="H540" s="2">
        <f t="shared" si="42"/>
        <v>105</v>
      </c>
      <c r="I540" s="2">
        <f t="shared" si="43"/>
        <v>0</v>
      </c>
      <c r="J540">
        <f t="shared" si="44"/>
        <v>0</v>
      </c>
    </row>
    <row r="541" spans="1:10" x14ac:dyDescent="0.2">
      <c r="A541" t="s">
        <v>199</v>
      </c>
      <c r="B541" t="s">
        <v>200</v>
      </c>
      <c r="C541" t="s">
        <v>201</v>
      </c>
      <c r="D541" t="s">
        <v>108</v>
      </c>
      <c r="E541" t="s">
        <v>202</v>
      </c>
      <c r="F541" s="2">
        <f t="shared" si="40"/>
        <v>3572</v>
      </c>
      <c r="G541" s="1">
        <f t="shared" si="41"/>
        <v>350000</v>
      </c>
      <c r="H541" s="2">
        <f t="shared" si="42"/>
        <v>105</v>
      </c>
      <c r="I541" s="2">
        <f t="shared" si="43"/>
        <v>0</v>
      </c>
      <c r="J541">
        <f t="shared" si="44"/>
        <v>0</v>
      </c>
    </row>
    <row r="542" spans="1:10" x14ac:dyDescent="0.2">
      <c r="A542" t="s">
        <v>880</v>
      </c>
      <c r="B542" t="s">
        <v>115</v>
      </c>
      <c r="C542" t="s">
        <v>881</v>
      </c>
      <c r="D542" t="s">
        <v>882</v>
      </c>
      <c r="E542" t="s">
        <v>883</v>
      </c>
      <c r="F542" s="2">
        <f t="shared" si="40"/>
        <v>3533</v>
      </c>
      <c r="G542" s="1">
        <f t="shared" si="41"/>
        <v>530000</v>
      </c>
      <c r="H542" s="2">
        <f t="shared" si="42"/>
        <v>105</v>
      </c>
      <c r="I542" s="2">
        <f t="shared" si="43"/>
        <v>8</v>
      </c>
      <c r="J542">
        <f t="shared" si="44"/>
        <v>127</v>
      </c>
    </row>
    <row r="543" spans="1:10" x14ac:dyDescent="0.2">
      <c r="A543" t="s">
        <v>1702</v>
      </c>
      <c r="B543" t="s">
        <v>35</v>
      </c>
      <c r="C543" t="s">
        <v>1703</v>
      </c>
      <c r="D543" t="s">
        <v>99</v>
      </c>
      <c r="E543" t="s">
        <v>202</v>
      </c>
      <c r="F543" s="2">
        <f t="shared" si="40"/>
        <v>3522</v>
      </c>
      <c r="G543" s="1">
        <f t="shared" si="41"/>
        <v>300000</v>
      </c>
      <c r="H543" s="2">
        <f t="shared" si="42"/>
        <v>105</v>
      </c>
      <c r="I543" s="2">
        <f t="shared" si="43"/>
        <v>0</v>
      </c>
      <c r="J543">
        <f t="shared" si="44"/>
        <v>0</v>
      </c>
    </row>
    <row r="544" spans="1:10" x14ac:dyDescent="0.2">
      <c r="A544" t="s">
        <v>2472</v>
      </c>
      <c r="B544" t="s">
        <v>74</v>
      </c>
      <c r="C544" t="s">
        <v>2473</v>
      </c>
      <c r="D544" t="s">
        <v>52</v>
      </c>
      <c r="E544" t="s">
        <v>202</v>
      </c>
      <c r="F544" s="2">
        <f t="shared" si="40"/>
        <v>3543</v>
      </c>
      <c r="G544" s="1">
        <f t="shared" si="41"/>
        <v>325000</v>
      </c>
      <c r="H544" s="2">
        <f t="shared" si="42"/>
        <v>105</v>
      </c>
      <c r="I544" s="2">
        <f t="shared" si="43"/>
        <v>0</v>
      </c>
      <c r="J544">
        <f t="shared" si="44"/>
        <v>0</v>
      </c>
    </row>
    <row r="545" spans="1:10" x14ac:dyDescent="0.2">
      <c r="A545" t="s">
        <v>2531</v>
      </c>
      <c r="B545" t="s">
        <v>209</v>
      </c>
      <c r="C545" t="s">
        <v>2532</v>
      </c>
      <c r="D545" t="s">
        <v>2533</v>
      </c>
      <c r="E545" t="s">
        <v>2534</v>
      </c>
      <c r="F545" s="2">
        <f t="shared" si="40"/>
        <v>3525</v>
      </c>
      <c r="G545" s="1">
        <f t="shared" si="41"/>
        <v>409000</v>
      </c>
      <c r="H545" s="2">
        <f t="shared" si="42"/>
        <v>105</v>
      </c>
      <c r="I545" s="2">
        <f t="shared" si="43"/>
        <v>8</v>
      </c>
      <c r="J545">
        <f t="shared" si="44"/>
        <v>99</v>
      </c>
    </row>
    <row r="546" spans="1:10" x14ac:dyDescent="0.2">
      <c r="A546" t="s">
        <v>2662</v>
      </c>
      <c r="B546" t="s">
        <v>35</v>
      </c>
      <c r="C546" t="s">
        <v>2663</v>
      </c>
      <c r="D546" t="s">
        <v>13</v>
      </c>
      <c r="E546" t="s">
        <v>202</v>
      </c>
      <c r="F546" s="2">
        <f t="shared" si="40"/>
        <v>3512</v>
      </c>
      <c r="G546" s="1">
        <f t="shared" si="41"/>
        <v>450000</v>
      </c>
      <c r="H546" s="2">
        <f t="shared" si="42"/>
        <v>105</v>
      </c>
      <c r="I546" s="2">
        <f t="shared" si="43"/>
        <v>0</v>
      </c>
      <c r="J546">
        <f t="shared" si="44"/>
        <v>0</v>
      </c>
    </row>
    <row r="547" spans="1:10" x14ac:dyDescent="0.2">
      <c r="A547" t="s">
        <v>2671</v>
      </c>
      <c r="B547" t="s">
        <v>152</v>
      </c>
      <c r="C547" t="s">
        <v>2672</v>
      </c>
      <c r="D547" t="s">
        <v>13</v>
      </c>
      <c r="E547" t="s">
        <v>198</v>
      </c>
      <c r="F547" s="2">
        <f t="shared" si="40"/>
        <v>3514</v>
      </c>
      <c r="G547" s="1">
        <f t="shared" si="41"/>
        <v>450000</v>
      </c>
      <c r="H547" s="2">
        <f t="shared" si="42"/>
        <v>105</v>
      </c>
      <c r="I547" s="2">
        <f t="shared" si="43"/>
        <v>0</v>
      </c>
      <c r="J547">
        <f t="shared" si="44"/>
        <v>0</v>
      </c>
    </row>
    <row r="548" spans="1:10" x14ac:dyDescent="0.2">
      <c r="A548" t="s">
        <v>2803</v>
      </c>
      <c r="B548" t="s">
        <v>148</v>
      </c>
      <c r="C548" t="s">
        <v>2804</v>
      </c>
      <c r="D548" t="s">
        <v>1931</v>
      </c>
      <c r="E548" t="s">
        <v>2805</v>
      </c>
      <c r="F548" s="2">
        <f t="shared" si="40"/>
        <v>3532</v>
      </c>
      <c r="G548" s="1">
        <f t="shared" si="41"/>
        <v>459000</v>
      </c>
      <c r="H548" s="2">
        <f t="shared" si="42"/>
        <v>105</v>
      </c>
      <c r="I548" s="2">
        <f t="shared" si="43"/>
        <v>8</v>
      </c>
      <c r="J548">
        <f t="shared" si="44"/>
        <v>112</v>
      </c>
    </row>
    <row r="549" spans="1:10" x14ac:dyDescent="0.2">
      <c r="A549" t="s">
        <v>2907</v>
      </c>
      <c r="B549" t="s">
        <v>240</v>
      </c>
      <c r="C549" t="s">
        <v>2908</v>
      </c>
      <c r="D549" t="s">
        <v>159</v>
      </c>
      <c r="E549" t="s">
        <v>2909</v>
      </c>
      <c r="F549" s="2">
        <f t="shared" si="40"/>
        <v>3522</v>
      </c>
      <c r="G549" s="1">
        <f t="shared" si="41"/>
        <v>425000</v>
      </c>
      <c r="H549" s="2">
        <f t="shared" si="42"/>
        <v>105</v>
      </c>
      <c r="I549" s="2">
        <f t="shared" si="43"/>
        <v>8</v>
      </c>
      <c r="J549">
        <f t="shared" si="44"/>
        <v>82</v>
      </c>
    </row>
    <row r="550" spans="1:10" x14ac:dyDescent="0.2">
      <c r="A550" t="s">
        <v>901</v>
      </c>
      <c r="B550" t="s">
        <v>513</v>
      </c>
      <c r="C550" t="s">
        <v>902</v>
      </c>
      <c r="D550" t="s">
        <v>903</v>
      </c>
      <c r="E550" t="s">
        <v>904</v>
      </c>
      <c r="F550" s="2">
        <f t="shared" si="40"/>
        <v>3532</v>
      </c>
      <c r="G550" s="1">
        <f t="shared" si="41"/>
        <v>360000</v>
      </c>
      <c r="H550" s="2">
        <f t="shared" si="42"/>
        <v>106</v>
      </c>
      <c r="I550" s="2">
        <f t="shared" si="43"/>
        <v>0</v>
      </c>
      <c r="J550">
        <f t="shared" si="44"/>
        <v>0</v>
      </c>
    </row>
    <row r="551" spans="1:10" x14ac:dyDescent="0.2">
      <c r="A551" t="s">
        <v>1319</v>
      </c>
      <c r="B551" t="s">
        <v>451</v>
      </c>
      <c r="C551" t="s">
        <v>1320</v>
      </c>
      <c r="D551" t="s">
        <v>741</v>
      </c>
      <c r="E551" t="s">
        <v>1321</v>
      </c>
      <c r="F551" s="2">
        <f t="shared" si="40"/>
        <v>3562</v>
      </c>
      <c r="G551" s="1">
        <f t="shared" si="41"/>
        <v>235000</v>
      </c>
      <c r="H551" s="2">
        <f t="shared" si="42"/>
        <v>106</v>
      </c>
      <c r="I551" s="2">
        <f t="shared" si="43"/>
        <v>8</v>
      </c>
      <c r="J551">
        <f t="shared" si="44"/>
        <v>104</v>
      </c>
    </row>
    <row r="552" spans="1:10" x14ac:dyDescent="0.2">
      <c r="A552" t="s">
        <v>1433</v>
      </c>
      <c r="B552" t="s">
        <v>200</v>
      </c>
      <c r="C552" t="s">
        <v>1434</v>
      </c>
      <c r="D552" t="s">
        <v>1435</v>
      </c>
      <c r="E552" t="s">
        <v>1436</v>
      </c>
      <c r="F552" s="2">
        <f t="shared" si="40"/>
        <v>3525</v>
      </c>
      <c r="G552" s="1">
        <f t="shared" si="41"/>
        <v>390000</v>
      </c>
      <c r="H552" s="2">
        <f t="shared" si="42"/>
        <v>106</v>
      </c>
      <c r="I552" s="2">
        <f t="shared" si="43"/>
        <v>8</v>
      </c>
      <c r="J552">
        <f t="shared" si="44"/>
        <v>161</v>
      </c>
    </row>
    <row r="553" spans="1:10" x14ac:dyDescent="0.2">
      <c r="A553" t="s">
        <v>1800</v>
      </c>
      <c r="B553" t="s">
        <v>294</v>
      </c>
      <c r="C553" t="s">
        <v>1801</v>
      </c>
      <c r="D553" t="s">
        <v>1056</v>
      </c>
      <c r="E553" t="s">
        <v>1802</v>
      </c>
      <c r="F553" s="2">
        <v>3541</v>
      </c>
      <c r="G553" s="1">
        <f t="shared" si="41"/>
        <v>440000</v>
      </c>
      <c r="H553" s="2">
        <f t="shared" si="42"/>
        <v>106</v>
      </c>
      <c r="I553" s="2">
        <f t="shared" si="43"/>
        <v>0</v>
      </c>
      <c r="J553">
        <f t="shared" si="44"/>
        <v>0</v>
      </c>
    </row>
    <row r="554" spans="1:10" x14ac:dyDescent="0.2">
      <c r="A554" t="s">
        <v>2147</v>
      </c>
      <c r="B554" t="s">
        <v>64</v>
      </c>
      <c r="C554" t="s">
        <v>2148</v>
      </c>
      <c r="D554" t="s">
        <v>194</v>
      </c>
      <c r="E554" t="s">
        <v>2149</v>
      </c>
      <c r="F554" s="2">
        <f>VALUE(LEFT(RIGHT(C554,15),4))</f>
        <v>3571</v>
      </c>
      <c r="G554" s="1">
        <f t="shared" si="41"/>
        <v>400000</v>
      </c>
      <c r="H554" s="2">
        <f t="shared" si="42"/>
        <v>106</v>
      </c>
      <c r="I554" s="2">
        <f t="shared" si="43"/>
        <v>8</v>
      </c>
      <c r="J554">
        <f t="shared" si="44"/>
        <v>150</v>
      </c>
    </row>
    <row r="555" spans="1:10" x14ac:dyDescent="0.2">
      <c r="A555" t="s">
        <v>686</v>
      </c>
      <c r="B555" t="s">
        <v>175</v>
      </c>
      <c r="C555" t="s">
        <v>687</v>
      </c>
      <c r="D555" t="s">
        <v>688</v>
      </c>
      <c r="E555" t="s">
        <v>689</v>
      </c>
      <c r="F555" s="2">
        <f>VALUE(LEFT(RIGHT(C555,15),4))</f>
        <v>3583</v>
      </c>
      <c r="G555" s="1">
        <f t="shared" si="41"/>
        <v>345000</v>
      </c>
      <c r="H555" s="2">
        <f t="shared" si="42"/>
        <v>107</v>
      </c>
      <c r="I555" s="2">
        <f t="shared" si="43"/>
        <v>0</v>
      </c>
      <c r="J555">
        <f t="shared" si="44"/>
        <v>0</v>
      </c>
    </row>
    <row r="556" spans="1:10" x14ac:dyDescent="0.2">
      <c r="A556" t="s">
        <v>1922</v>
      </c>
      <c r="B556" t="s">
        <v>102</v>
      </c>
      <c r="C556" t="s">
        <v>1923</v>
      </c>
      <c r="D556" t="s">
        <v>1924</v>
      </c>
      <c r="E556" t="s">
        <v>1925</v>
      </c>
      <c r="F556" s="2">
        <f>VALUE(LEFT(RIGHT(C556,15),4))</f>
        <v>3522</v>
      </c>
      <c r="G556" s="1">
        <f t="shared" si="41"/>
        <v>460000</v>
      </c>
      <c r="H556" s="2">
        <f t="shared" si="42"/>
        <v>107</v>
      </c>
      <c r="I556" s="2">
        <f t="shared" si="43"/>
        <v>8</v>
      </c>
      <c r="J556">
        <f t="shared" si="44"/>
        <v>85</v>
      </c>
    </row>
    <row r="557" spans="1:10" x14ac:dyDescent="0.2">
      <c r="A557" t="s">
        <v>2289</v>
      </c>
      <c r="B557" t="s">
        <v>97</v>
      </c>
      <c r="C557" t="s">
        <v>2290</v>
      </c>
      <c r="D557" t="s">
        <v>601</v>
      </c>
      <c r="E557" t="s">
        <v>2291</v>
      </c>
      <c r="F557" s="2">
        <f>VALUE(LEFT(RIGHT(C557,15),4))</f>
        <v>3514</v>
      </c>
      <c r="G557" s="1">
        <f t="shared" si="41"/>
        <v>475000</v>
      </c>
      <c r="H557" s="2">
        <f t="shared" si="42"/>
        <v>107</v>
      </c>
      <c r="I557" s="2">
        <f t="shared" si="43"/>
        <v>8</v>
      </c>
      <c r="J557">
        <f t="shared" si="44"/>
        <v>99</v>
      </c>
    </row>
    <row r="558" spans="1:10" x14ac:dyDescent="0.2">
      <c r="A558" t="s">
        <v>2542</v>
      </c>
      <c r="B558" t="s">
        <v>157</v>
      </c>
      <c r="C558" t="s">
        <v>2543</v>
      </c>
      <c r="D558" t="s">
        <v>168</v>
      </c>
      <c r="E558" t="s">
        <v>2544</v>
      </c>
      <c r="F558" s="2">
        <f>VALUE(LEFT(RIGHT(C558,15),4))</f>
        <v>3554</v>
      </c>
      <c r="G558" s="1">
        <f t="shared" si="41"/>
        <v>299500</v>
      </c>
      <c r="H558" s="2">
        <f t="shared" si="42"/>
        <v>107</v>
      </c>
      <c r="I558" s="2">
        <f t="shared" si="43"/>
        <v>8</v>
      </c>
      <c r="J558">
        <f t="shared" si="44"/>
        <v>75</v>
      </c>
    </row>
    <row r="559" spans="1:10" x14ac:dyDescent="0.2">
      <c r="A559" t="s">
        <v>244</v>
      </c>
      <c r="B559" t="s">
        <v>245</v>
      </c>
      <c r="C559" t="s">
        <v>246</v>
      </c>
      <c r="D559" t="s">
        <v>247</v>
      </c>
      <c r="E559" t="s">
        <v>248</v>
      </c>
      <c r="F559" s="2">
        <v>3541</v>
      </c>
      <c r="G559" s="1">
        <f t="shared" si="41"/>
        <v>475000</v>
      </c>
      <c r="H559" s="2">
        <f t="shared" si="42"/>
        <v>108</v>
      </c>
      <c r="I559" s="2">
        <f t="shared" si="43"/>
        <v>0</v>
      </c>
      <c r="J559">
        <f t="shared" si="44"/>
        <v>0</v>
      </c>
    </row>
    <row r="560" spans="1:10" x14ac:dyDescent="0.2">
      <c r="A560" t="s">
        <v>960</v>
      </c>
      <c r="B560" t="s">
        <v>513</v>
      </c>
      <c r="C560" t="s">
        <v>961</v>
      </c>
      <c r="D560" t="s">
        <v>601</v>
      </c>
      <c r="E560" t="s">
        <v>962</v>
      </c>
      <c r="F560" s="2">
        <f t="shared" ref="F560:F591" si="45">VALUE(LEFT(RIGHT(C560,15),4))</f>
        <v>3521</v>
      </c>
      <c r="G560" s="1">
        <f t="shared" si="41"/>
        <v>475000</v>
      </c>
      <c r="H560" s="2">
        <f t="shared" si="42"/>
        <v>108</v>
      </c>
      <c r="I560" s="2">
        <f t="shared" si="43"/>
        <v>8</v>
      </c>
      <c r="J560">
        <f t="shared" si="44"/>
        <v>102</v>
      </c>
    </row>
    <row r="561" spans="1:10" x14ac:dyDescent="0.2">
      <c r="A561" t="s">
        <v>2136</v>
      </c>
      <c r="B561" t="s">
        <v>833</v>
      </c>
      <c r="C561" t="s">
        <v>2137</v>
      </c>
      <c r="D561" t="s">
        <v>2138</v>
      </c>
      <c r="E561" t="s">
        <v>2139</v>
      </c>
      <c r="F561" s="2">
        <f t="shared" si="45"/>
        <v>3551</v>
      </c>
      <c r="G561" s="1">
        <f t="shared" si="41"/>
        <v>358500</v>
      </c>
      <c r="H561" s="2">
        <f t="shared" si="42"/>
        <v>108</v>
      </c>
      <c r="I561" s="2">
        <f t="shared" si="43"/>
        <v>8</v>
      </c>
      <c r="J561">
        <f t="shared" si="44"/>
        <v>60</v>
      </c>
    </row>
    <row r="562" spans="1:10" x14ac:dyDescent="0.2">
      <c r="A562" t="s">
        <v>2555</v>
      </c>
      <c r="B562" t="s">
        <v>40</v>
      </c>
      <c r="C562" t="s">
        <v>2556</v>
      </c>
      <c r="D562" t="s">
        <v>546</v>
      </c>
      <c r="E562" t="s">
        <v>2557</v>
      </c>
      <c r="F562" s="2">
        <f t="shared" si="45"/>
        <v>3525</v>
      </c>
      <c r="G562" s="1">
        <f t="shared" si="41"/>
        <v>339000</v>
      </c>
      <c r="H562" s="2">
        <f t="shared" si="42"/>
        <v>108</v>
      </c>
      <c r="I562" s="2">
        <f t="shared" si="43"/>
        <v>0</v>
      </c>
      <c r="J562">
        <f t="shared" si="44"/>
        <v>0</v>
      </c>
    </row>
    <row r="563" spans="1:10" x14ac:dyDescent="0.2">
      <c r="A563" t="s">
        <v>2945</v>
      </c>
      <c r="B563" t="s">
        <v>451</v>
      </c>
      <c r="C563" t="s">
        <v>2946</v>
      </c>
      <c r="D563" t="s">
        <v>108</v>
      </c>
      <c r="E563" t="s">
        <v>2947</v>
      </c>
      <c r="F563" s="2">
        <f t="shared" si="45"/>
        <v>3572</v>
      </c>
      <c r="G563" s="1">
        <f t="shared" si="41"/>
        <v>350000</v>
      </c>
      <c r="H563" s="2">
        <f t="shared" si="42"/>
        <v>108</v>
      </c>
      <c r="I563" s="2">
        <f t="shared" si="43"/>
        <v>8</v>
      </c>
      <c r="J563">
        <f t="shared" si="44"/>
        <v>173</v>
      </c>
    </row>
    <row r="564" spans="1:10" x14ac:dyDescent="0.2">
      <c r="A564" t="s">
        <v>138</v>
      </c>
      <c r="B564" t="s">
        <v>16</v>
      </c>
      <c r="C564" t="s">
        <v>139</v>
      </c>
      <c r="D564" t="s">
        <v>140</v>
      </c>
      <c r="E564" t="s">
        <v>141</v>
      </c>
      <c r="F564" s="2">
        <f t="shared" si="45"/>
        <v>3582</v>
      </c>
      <c r="G564" s="1">
        <f t="shared" si="41"/>
        <v>535000</v>
      </c>
      <c r="H564" s="2">
        <f t="shared" si="42"/>
        <v>109</v>
      </c>
      <c r="I564" s="2">
        <f t="shared" si="43"/>
        <v>8</v>
      </c>
      <c r="J564">
        <f t="shared" si="44"/>
        <v>78</v>
      </c>
    </row>
    <row r="565" spans="1:10" x14ac:dyDescent="0.2">
      <c r="A565" t="s">
        <v>603</v>
      </c>
      <c r="B565" t="s">
        <v>417</v>
      </c>
      <c r="C565" t="s">
        <v>604</v>
      </c>
      <c r="D565" t="s">
        <v>159</v>
      </c>
      <c r="E565" t="s">
        <v>605</v>
      </c>
      <c r="F565" s="2">
        <f t="shared" si="45"/>
        <v>3521</v>
      </c>
      <c r="G565" s="1">
        <f t="shared" si="41"/>
        <v>425000</v>
      </c>
      <c r="H565" s="2">
        <f t="shared" si="42"/>
        <v>109</v>
      </c>
      <c r="I565" s="2">
        <f t="shared" si="43"/>
        <v>8</v>
      </c>
      <c r="J565">
        <f t="shared" si="44"/>
        <v>76</v>
      </c>
    </row>
    <row r="566" spans="1:10" x14ac:dyDescent="0.2">
      <c r="A566" t="s">
        <v>860</v>
      </c>
      <c r="B566" t="s">
        <v>120</v>
      </c>
      <c r="C566" t="s">
        <v>861</v>
      </c>
      <c r="D566" t="s">
        <v>303</v>
      </c>
      <c r="E566" t="s">
        <v>862</v>
      </c>
      <c r="F566" s="2">
        <f t="shared" si="45"/>
        <v>3511</v>
      </c>
      <c r="G566" s="1">
        <f t="shared" si="41"/>
        <v>549000</v>
      </c>
      <c r="H566" s="2">
        <f t="shared" si="42"/>
        <v>109</v>
      </c>
      <c r="I566" s="2">
        <f t="shared" si="43"/>
        <v>0</v>
      </c>
      <c r="J566">
        <f t="shared" si="44"/>
        <v>0</v>
      </c>
    </row>
    <row r="567" spans="1:10" x14ac:dyDescent="0.2">
      <c r="A567" t="s">
        <v>1727</v>
      </c>
      <c r="B567" t="s">
        <v>792</v>
      </c>
      <c r="C567" t="s">
        <v>1728</v>
      </c>
      <c r="D567" t="s">
        <v>760</v>
      </c>
      <c r="E567" t="s">
        <v>1729</v>
      </c>
      <c r="F567" s="2">
        <f t="shared" si="45"/>
        <v>3553</v>
      </c>
      <c r="G567" s="1">
        <f t="shared" si="41"/>
        <v>269500</v>
      </c>
      <c r="H567" s="2">
        <f t="shared" si="42"/>
        <v>109</v>
      </c>
      <c r="I567" s="2">
        <f t="shared" si="43"/>
        <v>0</v>
      </c>
      <c r="J567">
        <f t="shared" si="44"/>
        <v>0</v>
      </c>
    </row>
    <row r="568" spans="1:10" x14ac:dyDescent="0.2">
      <c r="A568" t="s">
        <v>1763</v>
      </c>
      <c r="B568" t="s">
        <v>175</v>
      </c>
      <c r="C568" t="s">
        <v>1764</v>
      </c>
      <c r="D568" t="s">
        <v>159</v>
      </c>
      <c r="E568" t="s">
        <v>1765</v>
      </c>
      <c r="F568" s="2">
        <f t="shared" si="45"/>
        <v>3523</v>
      </c>
      <c r="G568" s="1">
        <f t="shared" si="41"/>
        <v>425000</v>
      </c>
      <c r="H568" s="2">
        <f t="shared" si="42"/>
        <v>109</v>
      </c>
      <c r="I568" s="2">
        <f t="shared" si="43"/>
        <v>8</v>
      </c>
      <c r="J568">
        <f t="shared" si="44"/>
        <v>146</v>
      </c>
    </row>
    <row r="569" spans="1:10" x14ac:dyDescent="0.2">
      <c r="A569" t="s">
        <v>1941</v>
      </c>
      <c r="B569" t="s">
        <v>350</v>
      </c>
      <c r="C569" t="s">
        <v>1942</v>
      </c>
      <c r="D569" t="s">
        <v>1943</v>
      </c>
      <c r="E569" t="s">
        <v>1729</v>
      </c>
      <c r="F569" s="2">
        <f t="shared" si="45"/>
        <v>3541</v>
      </c>
      <c r="G569" s="1">
        <f t="shared" si="41"/>
        <v>454000</v>
      </c>
      <c r="H569" s="2">
        <f t="shared" si="42"/>
        <v>109</v>
      </c>
      <c r="I569" s="2">
        <f t="shared" si="43"/>
        <v>0</v>
      </c>
      <c r="J569">
        <f t="shared" si="44"/>
        <v>0</v>
      </c>
    </row>
    <row r="570" spans="1:10" x14ac:dyDescent="0.2">
      <c r="A570" t="s">
        <v>203</v>
      </c>
      <c r="B570" t="s">
        <v>204</v>
      </c>
      <c r="C570" t="s">
        <v>205</v>
      </c>
      <c r="D570" t="s">
        <v>206</v>
      </c>
      <c r="E570" t="s">
        <v>207</v>
      </c>
      <c r="F570" s="2">
        <f t="shared" si="45"/>
        <v>3564</v>
      </c>
      <c r="G570" s="1">
        <f t="shared" si="41"/>
        <v>260000</v>
      </c>
      <c r="H570" s="2">
        <f t="shared" si="42"/>
        <v>110</v>
      </c>
      <c r="I570" s="2">
        <f t="shared" si="43"/>
        <v>8</v>
      </c>
      <c r="J570">
        <f t="shared" si="44"/>
        <v>162</v>
      </c>
    </row>
    <row r="571" spans="1:10" x14ac:dyDescent="0.2">
      <c r="A571" t="s">
        <v>454</v>
      </c>
      <c r="B571" t="s">
        <v>209</v>
      </c>
      <c r="C571" t="s">
        <v>455</v>
      </c>
      <c r="D571" t="s">
        <v>456</v>
      </c>
      <c r="E571" t="s">
        <v>457</v>
      </c>
      <c r="F571" s="2">
        <f t="shared" si="45"/>
        <v>3522</v>
      </c>
      <c r="G571" s="1">
        <f t="shared" si="41"/>
        <v>370000</v>
      </c>
      <c r="H571" s="2">
        <f t="shared" si="42"/>
        <v>110</v>
      </c>
      <c r="I571" s="2">
        <f t="shared" si="43"/>
        <v>8</v>
      </c>
      <c r="J571">
        <f t="shared" si="44"/>
        <v>117</v>
      </c>
    </row>
    <row r="572" spans="1:10" x14ac:dyDescent="0.2">
      <c r="A572" t="s">
        <v>1210</v>
      </c>
      <c r="B572" t="s">
        <v>11</v>
      </c>
      <c r="C572" t="s">
        <v>1211</v>
      </c>
      <c r="D572" t="s">
        <v>804</v>
      </c>
      <c r="E572" t="s">
        <v>1212</v>
      </c>
      <c r="F572" s="2">
        <f t="shared" si="45"/>
        <v>3521</v>
      </c>
      <c r="G572" s="1">
        <f t="shared" si="41"/>
        <v>449000</v>
      </c>
      <c r="H572" s="2">
        <f t="shared" si="42"/>
        <v>110</v>
      </c>
      <c r="I572" s="2">
        <f t="shared" si="43"/>
        <v>8</v>
      </c>
      <c r="J572">
        <f t="shared" si="44"/>
        <v>88</v>
      </c>
    </row>
    <row r="573" spans="1:10" x14ac:dyDescent="0.2">
      <c r="A573" t="s">
        <v>1257</v>
      </c>
      <c r="B573" t="s">
        <v>513</v>
      </c>
      <c r="C573" t="s">
        <v>1258</v>
      </c>
      <c r="D573" t="s">
        <v>8</v>
      </c>
      <c r="E573" t="s">
        <v>1259</v>
      </c>
      <c r="F573" s="2">
        <f t="shared" si="45"/>
        <v>3525</v>
      </c>
      <c r="G573" s="1">
        <f t="shared" si="41"/>
        <v>399000</v>
      </c>
      <c r="H573" s="2">
        <f t="shared" si="42"/>
        <v>110</v>
      </c>
      <c r="I573" s="2">
        <f t="shared" si="43"/>
        <v>8</v>
      </c>
      <c r="J573">
        <f t="shared" si="44"/>
        <v>80</v>
      </c>
    </row>
    <row r="574" spans="1:10" x14ac:dyDescent="0.2">
      <c r="A574" t="s">
        <v>1405</v>
      </c>
      <c r="B574" t="s">
        <v>130</v>
      </c>
      <c r="C574" t="s">
        <v>1406</v>
      </c>
      <c r="D574" t="s">
        <v>108</v>
      </c>
      <c r="E574" t="s">
        <v>1407</v>
      </c>
      <c r="F574" s="2">
        <f t="shared" si="45"/>
        <v>3531</v>
      </c>
      <c r="G574" s="1">
        <f t="shared" si="41"/>
        <v>350000</v>
      </c>
      <c r="H574" s="2">
        <f t="shared" si="42"/>
        <v>110</v>
      </c>
      <c r="I574" s="2">
        <f t="shared" si="43"/>
        <v>0</v>
      </c>
      <c r="J574">
        <f t="shared" si="44"/>
        <v>0</v>
      </c>
    </row>
    <row r="575" spans="1:10" x14ac:dyDescent="0.2">
      <c r="A575" t="s">
        <v>1663</v>
      </c>
      <c r="B575" t="s">
        <v>148</v>
      </c>
      <c r="C575" t="s">
        <v>1664</v>
      </c>
      <c r="D575" t="s">
        <v>99</v>
      </c>
      <c r="E575" t="s">
        <v>1665</v>
      </c>
      <c r="F575" s="2">
        <f t="shared" si="45"/>
        <v>3564</v>
      </c>
      <c r="G575" s="1">
        <f t="shared" si="41"/>
        <v>300000</v>
      </c>
      <c r="H575" s="2">
        <f t="shared" si="42"/>
        <v>110</v>
      </c>
      <c r="I575" s="2">
        <f t="shared" si="43"/>
        <v>8</v>
      </c>
      <c r="J575">
        <f t="shared" si="44"/>
        <v>136</v>
      </c>
    </row>
    <row r="576" spans="1:10" x14ac:dyDescent="0.2">
      <c r="A576" t="s">
        <v>1900</v>
      </c>
      <c r="B576" t="s">
        <v>26</v>
      </c>
      <c r="C576" t="s">
        <v>1901</v>
      </c>
      <c r="D576" t="s">
        <v>270</v>
      </c>
      <c r="E576" t="s">
        <v>1902</v>
      </c>
      <c r="F576" s="2">
        <f t="shared" si="45"/>
        <v>3525</v>
      </c>
      <c r="G576" s="1">
        <f t="shared" si="41"/>
        <v>419000</v>
      </c>
      <c r="H576" s="2">
        <f t="shared" si="42"/>
        <v>110</v>
      </c>
      <c r="I576" s="2">
        <f t="shared" si="43"/>
        <v>8</v>
      </c>
      <c r="J576">
        <f t="shared" si="44"/>
        <v>92</v>
      </c>
    </row>
    <row r="577" spans="1:10" x14ac:dyDescent="0.2">
      <c r="A577" t="s">
        <v>2168</v>
      </c>
      <c r="B577" t="s">
        <v>552</v>
      </c>
      <c r="C577" t="s">
        <v>2169</v>
      </c>
      <c r="D577" t="s">
        <v>430</v>
      </c>
      <c r="E577" t="s">
        <v>2170</v>
      </c>
      <c r="F577" s="2">
        <f t="shared" si="45"/>
        <v>3564</v>
      </c>
      <c r="G577" s="1">
        <f t="shared" si="41"/>
        <v>250000</v>
      </c>
      <c r="H577" s="2">
        <f t="shared" si="42"/>
        <v>110</v>
      </c>
      <c r="I577" s="2">
        <f t="shared" si="43"/>
        <v>8</v>
      </c>
      <c r="J577">
        <f t="shared" si="44"/>
        <v>155</v>
      </c>
    </row>
    <row r="578" spans="1:10" x14ac:dyDescent="0.2">
      <c r="A578" t="s">
        <v>2839</v>
      </c>
      <c r="B578" t="s">
        <v>575</v>
      </c>
      <c r="C578" t="s">
        <v>2840</v>
      </c>
      <c r="D578" t="s">
        <v>2841</v>
      </c>
      <c r="E578" t="s">
        <v>2842</v>
      </c>
      <c r="F578" s="2">
        <f t="shared" si="45"/>
        <v>3551</v>
      </c>
      <c r="G578" s="1">
        <f t="shared" ref="G578:G641" si="46">VALUE(MID(D578,3,FIND(" ",D578,3)-3))</f>
        <v>397500</v>
      </c>
      <c r="H578" s="2">
        <f t="shared" ref="H578:H641" si="47">VALUE(LEFT(E578,FIND(" ",E578,1)-1))</f>
        <v>110</v>
      </c>
      <c r="I578" s="2">
        <f t="shared" ref="I578:I641" si="48">IFERROR(FIND("/",E578,1),0)</f>
        <v>8</v>
      </c>
      <c r="J578">
        <f t="shared" ref="J578:J641" si="49">IF(I578=0,0,VALUE(MID(E578,FIND("/",E578,1)+2,(FIND(" ",E578,FIND("/",E578,1)+2)-(FIND("/",E578,1))-1))))</f>
        <v>77</v>
      </c>
    </row>
    <row r="579" spans="1:10" x14ac:dyDescent="0.2">
      <c r="A579" t="s">
        <v>59</v>
      </c>
      <c r="B579" t="s">
        <v>60</v>
      </c>
      <c r="C579" t="s">
        <v>61</v>
      </c>
      <c r="D579" t="s">
        <v>52</v>
      </c>
      <c r="E579" t="s">
        <v>62</v>
      </c>
      <c r="F579" s="2">
        <f t="shared" si="45"/>
        <v>3544</v>
      </c>
      <c r="G579" s="1">
        <f t="shared" si="46"/>
        <v>325000</v>
      </c>
      <c r="H579" s="2">
        <f t="shared" si="47"/>
        <v>111</v>
      </c>
      <c r="I579" s="2">
        <f t="shared" si="48"/>
        <v>8</v>
      </c>
      <c r="J579">
        <f t="shared" si="49"/>
        <v>122</v>
      </c>
    </row>
    <row r="580" spans="1:10" x14ac:dyDescent="0.2">
      <c r="A580" t="s">
        <v>975</v>
      </c>
      <c r="B580" t="s">
        <v>115</v>
      </c>
      <c r="C580" t="s">
        <v>976</v>
      </c>
      <c r="D580" t="s">
        <v>977</v>
      </c>
      <c r="E580" t="s">
        <v>978</v>
      </c>
      <c r="F580" s="2">
        <f t="shared" si="45"/>
        <v>3533</v>
      </c>
      <c r="G580" s="1">
        <f t="shared" si="46"/>
        <v>399500</v>
      </c>
      <c r="H580" s="2">
        <f t="shared" si="47"/>
        <v>111</v>
      </c>
      <c r="I580" s="2">
        <f t="shared" si="48"/>
        <v>8</v>
      </c>
      <c r="J580">
        <f t="shared" si="49"/>
        <v>122</v>
      </c>
    </row>
    <row r="581" spans="1:10" x14ac:dyDescent="0.2">
      <c r="A581" t="s">
        <v>1051</v>
      </c>
      <c r="B581" t="s">
        <v>60</v>
      </c>
      <c r="C581" t="s">
        <v>1052</v>
      </c>
      <c r="D581" t="s">
        <v>546</v>
      </c>
      <c r="E581" t="s">
        <v>1053</v>
      </c>
      <c r="F581" s="2">
        <f t="shared" si="45"/>
        <v>3543</v>
      </c>
      <c r="G581" s="1">
        <f t="shared" si="46"/>
        <v>339000</v>
      </c>
      <c r="H581" s="2">
        <f t="shared" si="47"/>
        <v>111</v>
      </c>
      <c r="I581" s="2">
        <f t="shared" si="48"/>
        <v>8</v>
      </c>
      <c r="J581">
        <f t="shared" si="49"/>
        <v>108</v>
      </c>
    </row>
    <row r="582" spans="1:10" x14ac:dyDescent="0.2">
      <c r="A582" t="s">
        <v>1115</v>
      </c>
      <c r="B582" t="s">
        <v>240</v>
      </c>
      <c r="C582" t="s">
        <v>1116</v>
      </c>
      <c r="D582" t="s">
        <v>1117</v>
      </c>
      <c r="E582" t="s">
        <v>1118</v>
      </c>
      <c r="F582" s="2">
        <f t="shared" si="45"/>
        <v>3581</v>
      </c>
      <c r="G582" s="1">
        <f t="shared" si="46"/>
        <v>499000</v>
      </c>
      <c r="H582" s="2">
        <f t="shared" si="47"/>
        <v>111</v>
      </c>
      <c r="I582" s="2">
        <f t="shared" si="48"/>
        <v>0</v>
      </c>
      <c r="J582">
        <f t="shared" si="49"/>
        <v>0</v>
      </c>
    </row>
    <row r="583" spans="1:10" x14ac:dyDescent="0.2">
      <c r="A583" t="s">
        <v>2786</v>
      </c>
      <c r="B583" t="s">
        <v>200</v>
      </c>
      <c r="C583" t="s">
        <v>2787</v>
      </c>
      <c r="D583" t="s">
        <v>347</v>
      </c>
      <c r="E583" t="s">
        <v>2788</v>
      </c>
      <c r="F583" s="2">
        <f t="shared" si="45"/>
        <v>3531</v>
      </c>
      <c r="G583" s="1">
        <f t="shared" si="46"/>
        <v>315000</v>
      </c>
      <c r="H583" s="2">
        <f t="shared" si="47"/>
        <v>111</v>
      </c>
      <c r="I583" s="2">
        <f t="shared" si="48"/>
        <v>8</v>
      </c>
      <c r="J583">
        <f t="shared" si="49"/>
        <v>81</v>
      </c>
    </row>
    <row r="584" spans="1:10" x14ac:dyDescent="0.2">
      <c r="A584" t="s">
        <v>892</v>
      </c>
      <c r="B584" t="s">
        <v>79</v>
      </c>
      <c r="C584" t="s">
        <v>893</v>
      </c>
      <c r="D584" t="s">
        <v>52</v>
      </c>
      <c r="E584" t="s">
        <v>894</v>
      </c>
      <c r="F584" s="2">
        <f t="shared" si="45"/>
        <v>3534</v>
      </c>
      <c r="G584" s="1">
        <f t="shared" si="46"/>
        <v>325000</v>
      </c>
      <c r="H584" s="2">
        <f t="shared" si="47"/>
        <v>112</v>
      </c>
      <c r="I584" s="2">
        <f t="shared" si="48"/>
        <v>8</v>
      </c>
      <c r="J584">
        <f t="shared" si="49"/>
        <v>146</v>
      </c>
    </row>
    <row r="585" spans="1:10" x14ac:dyDescent="0.2">
      <c r="A585" t="s">
        <v>905</v>
      </c>
      <c r="B585" t="s">
        <v>143</v>
      </c>
      <c r="C585" t="s">
        <v>906</v>
      </c>
      <c r="D585" t="s">
        <v>526</v>
      </c>
      <c r="E585" t="s">
        <v>907</v>
      </c>
      <c r="F585" s="2">
        <f t="shared" si="45"/>
        <v>3571</v>
      </c>
      <c r="G585" s="1">
        <f t="shared" si="46"/>
        <v>500000</v>
      </c>
      <c r="H585" s="2">
        <f t="shared" si="47"/>
        <v>112</v>
      </c>
      <c r="I585" s="2">
        <f t="shared" si="48"/>
        <v>8</v>
      </c>
      <c r="J585">
        <f t="shared" si="49"/>
        <v>149</v>
      </c>
    </row>
    <row r="586" spans="1:10" x14ac:dyDescent="0.2">
      <c r="A586" t="s">
        <v>989</v>
      </c>
      <c r="B586" t="s">
        <v>162</v>
      </c>
      <c r="C586" t="s">
        <v>990</v>
      </c>
      <c r="D586" t="s">
        <v>991</v>
      </c>
      <c r="E586" t="s">
        <v>992</v>
      </c>
      <c r="F586" s="2">
        <f t="shared" si="45"/>
        <v>3541</v>
      </c>
      <c r="G586" s="1">
        <f t="shared" si="46"/>
        <v>439000</v>
      </c>
      <c r="H586" s="2">
        <f t="shared" si="47"/>
        <v>112</v>
      </c>
      <c r="I586" s="2">
        <f t="shared" si="48"/>
        <v>0</v>
      </c>
      <c r="J586">
        <f t="shared" si="49"/>
        <v>0</v>
      </c>
    </row>
    <row r="587" spans="1:10" x14ac:dyDescent="0.2">
      <c r="A587" t="s">
        <v>999</v>
      </c>
      <c r="B587" t="s">
        <v>294</v>
      </c>
      <c r="C587" t="s">
        <v>1000</v>
      </c>
      <c r="D587" t="s">
        <v>1001</v>
      </c>
      <c r="E587" t="s">
        <v>1002</v>
      </c>
      <c r="F587" s="2">
        <f t="shared" si="45"/>
        <v>3545</v>
      </c>
      <c r="G587" s="1">
        <f t="shared" si="46"/>
        <v>429000</v>
      </c>
      <c r="H587" s="2">
        <f t="shared" si="47"/>
        <v>112</v>
      </c>
      <c r="I587" s="2">
        <f t="shared" si="48"/>
        <v>0</v>
      </c>
      <c r="J587">
        <f t="shared" si="49"/>
        <v>0</v>
      </c>
    </row>
    <row r="588" spans="1:10" x14ac:dyDescent="0.2">
      <c r="A588" t="s">
        <v>1252</v>
      </c>
      <c r="B588" t="s">
        <v>736</v>
      </c>
      <c r="C588" t="s">
        <v>1253</v>
      </c>
      <c r="D588" t="s">
        <v>634</v>
      </c>
      <c r="E588" t="s">
        <v>1254</v>
      </c>
      <c r="F588" s="2">
        <f t="shared" si="45"/>
        <v>3544</v>
      </c>
      <c r="G588" s="1">
        <f t="shared" si="46"/>
        <v>775000</v>
      </c>
      <c r="H588" s="2">
        <f t="shared" si="47"/>
        <v>112</v>
      </c>
      <c r="I588" s="2">
        <f t="shared" si="48"/>
        <v>8</v>
      </c>
      <c r="J588">
        <f t="shared" si="49"/>
        <v>1460</v>
      </c>
    </row>
    <row r="589" spans="1:10" x14ac:dyDescent="0.2">
      <c r="A589" t="s">
        <v>1377</v>
      </c>
      <c r="B589" t="s">
        <v>1014</v>
      </c>
      <c r="C589" t="s">
        <v>1378</v>
      </c>
      <c r="D589" t="s">
        <v>37</v>
      </c>
      <c r="E589" t="s">
        <v>992</v>
      </c>
      <c r="F589" s="2">
        <f t="shared" si="45"/>
        <v>3544</v>
      </c>
      <c r="G589" s="1">
        <f t="shared" si="46"/>
        <v>375000</v>
      </c>
      <c r="H589" s="2">
        <f t="shared" si="47"/>
        <v>112</v>
      </c>
      <c r="I589" s="2">
        <f t="shared" si="48"/>
        <v>0</v>
      </c>
      <c r="J589">
        <f t="shared" si="49"/>
        <v>0</v>
      </c>
    </row>
    <row r="590" spans="1:10" x14ac:dyDescent="0.2">
      <c r="A590" t="s">
        <v>1485</v>
      </c>
      <c r="B590" t="s">
        <v>792</v>
      </c>
      <c r="C590" t="s">
        <v>1486</v>
      </c>
      <c r="D590" t="s">
        <v>395</v>
      </c>
      <c r="E590" t="s">
        <v>1487</v>
      </c>
      <c r="F590" s="2">
        <f t="shared" si="45"/>
        <v>3553</v>
      </c>
      <c r="G590" s="1">
        <f t="shared" si="46"/>
        <v>295000</v>
      </c>
      <c r="H590" s="2">
        <f t="shared" si="47"/>
        <v>112</v>
      </c>
      <c r="I590" s="2">
        <f t="shared" si="48"/>
        <v>8</v>
      </c>
      <c r="J590">
        <f t="shared" si="49"/>
        <v>90</v>
      </c>
    </row>
    <row r="591" spans="1:10" x14ac:dyDescent="0.2">
      <c r="A591" t="s">
        <v>1523</v>
      </c>
      <c r="B591" t="s">
        <v>64</v>
      </c>
      <c r="C591" t="s">
        <v>1524</v>
      </c>
      <c r="D591" t="s">
        <v>395</v>
      </c>
      <c r="E591" t="s">
        <v>1525</v>
      </c>
      <c r="F591" s="2">
        <f t="shared" si="45"/>
        <v>3554</v>
      </c>
      <c r="G591" s="1">
        <f t="shared" si="46"/>
        <v>295000</v>
      </c>
      <c r="H591" s="2">
        <f t="shared" si="47"/>
        <v>112</v>
      </c>
      <c r="I591" s="2">
        <f t="shared" si="48"/>
        <v>8</v>
      </c>
      <c r="J591">
        <f t="shared" si="49"/>
        <v>102</v>
      </c>
    </row>
    <row r="592" spans="1:10" x14ac:dyDescent="0.2">
      <c r="A592" t="s">
        <v>1772</v>
      </c>
      <c r="B592" t="s">
        <v>120</v>
      </c>
      <c r="C592" t="s">
        <v>1773</v>
      </c>
      <c r="D592" t="s">
        <v>1375</v>
      </c>
      <c r="E592" t="s">
        <v>992</v>
      </c>
      <c r="F592" s="2">
        <f t="shared" ref="F592:F623" si="50">VALUE(LEFT(RIGHT(C592,15),4))</f>
        <v>3511</v>
      </c>
      <c r="G592" s="1">
        <f t="shared" si="46"/>
        <v>749000</v>
      </c>
      <c r="H592" s="2">
        <f t="shared" si="47"/>
        <v>112</v>
      </c>
      <c r="I592" s="2">
        <f t="shared" si="48"/>
        <v>0</v>
      </c>
      <c r="J592">
        <f t="shared" si="49"/>
        <v>0</v>
      </c>
    </row>
    <row r="593" spans="1:10" x14ac:dyDescent="0.2">
      <c r="A593" t="s">
        <v>1892</v>
      </c>
      <c r="B593" t="s">
        <v>6</v>
      </c>
      <c r="C593" t="s">
        <v>1893</v>
      </c>
      <c r="D593" t="s">
        <v>335</v>
      </c>
      <c r="E593" t="s">
        <v>1894</v>
      </c>
      <c r="F593" s="2">
        <f t="shared" si="50"/>
        <v>3554</v>
      </c>
      <c r="G593" s="1">
        <f t="shared" si="46"/>
        <v>329000</v>
      </c>
      <c r="H593" s="2">
        <f t="shared" si="47"/>
        <v>112</v>
      </c>
      <c r="I593" s="2">
        <f t="shared" si="48"/>
        <v>8</v>
      </c>
      <c r="J593">
        <f t="shared" si="49"/>
        <v>130</v>
      </c>
    </row>
    <row r="594" spans="1:10" x14ac:dyDescent="0.2">
      <c r="A594" t="s">
        <v>2292</v>
      </c>
      <c r="B594" t="s">
        <v>35</v>
      </c>
      <c r="C594" t="s">
        <v>2293</v>
      </c>
      <c r="D594" t="s">
        <v>18</v>
      </c>
      <c r="E594" t="s">
        <v>1002</v>
      </c>
      <c r="F594" s="2">
        <f t="shared" si="50"/>
        <v>3514</v>
      </c>
      <c r="G594" s="1">
        <f t="shared" si="46"/>
        <v>525000</v>
      </c>
      <c r="H594" s="2">
        <f t="shared" si="47"/>
        <v>112</v>
      </c>
      <c r="I594" s="2">
        <f t="shared" si="48"/>
        <v>0</v>
      </c>
      <c r="J594">
        <f t="shared" si="49"/>
        <v>0</v>
      </c>
    </row>
    <row r="595" spans="1:10" x14ac:dyDescent="0.2">
      <c r="A595" t="s">
        <v>1088</v>
      </c>
      <c r="B595" t="s">
        <v>60</v>
      </c>
      <c r="C595" t="s">
        <v>1089</v>
      </c>
      <c r="D595" t="s">
        <v>804</v>
      </c>
      <c r="E595" t="s">
        <v>1090</v>
      </c>
      <c r="F595" s="2">
        <f t="shared" si="50"/>
        <v>3523</v>
      </c>
      <c r="G595" s="1">
        <f t="shared" si="46"/>
        <v>449000</v>
      </c>
      <c r="H595" s="2">
        <f t="shared" si="47"/>
        <v>113</v>
      </c>
      <c r="I595" s="2">
        <f t="shared" si="48"/>
        <v>8</v>
      </c>
      <c r="J595">
        <f t="shared" si="49"/>
        <v>123</v>
      </c>
    </row>
    <row r="596" spans="1:10" x14ac:dyDescent="0.2">
      <c r="A596" t="s">
        <v>2346</v>
      </c>
      <c r="B596" t="s">
        <v>6</v>
      </c>
      <c r="C596" t="s">
        <v>2347</v>
      </c>
      <c r="D596" t="s">
        <v>855</v>
      </c>
      <c r="E596" t="s">
        <v>2348</v>
      </c>
      <c r="F596" s="2">
        <f t="shared" si="50"/>
        <v>3521</v>
      </c>
      <c r="G596" s="1">
        <f t="shared" si="46"/>
        <v>495000</v>
      </c>
      <c r="H596" s="2">
        <f t="shared" si="47"/>
        <v>113</v>
      </c>
      <c r="I596" s="2">
        <f t="shared" si="48"/>
        <v>8</v>
      </c>
      <c r="J596">
        <f t="shared" si="49"/>
        <v>115</v>
      </c>
    </row>
    <row r="597" spans="1:10" x14ac:dyDescent="0.2">
      <c r="A597" t="s">
        <v>236</v>
      </c>
      <c r="B597" t="s">
        <v>192</v>
      </c>
      <c r="C597" t="s">
        <v>237</v>
      </c>
      <c r="D597" t="s">
        <v>99</v>
      </c>
      <c r="E597" t="s">
        <v>238</v>
      </c>
      <c r="F597" s="2">
        <f t="shared" si="50"/>
        <v>3552</v>
      </c>
      <c r="G597" s="1">
        <f t="shared" si="46"/>
        <v>300000</v>
      </c>
      <c r="H597" s="2">
        <f t="shared" si="47"/>
        <v>114</v>
      </c>
      <c r="I597" s="2">
        <f t="shared" si="48"/>
        <v>0</v>
      </c>
      <c r="J597">
        <f t="shared" si="49"/>
        <v>0</v>
      </c>
    </row>
    <row r="598" spans="1:10" x14ac:dyDescent="0.2">
      <c r="A598" t="s">
        <v>788</v>
      </c>
      <c r="B598" t="s">
        <v>350</v>
      </c>
      <c r="C598" t="s">
        <v>789</v>
      </c>
      <c r="D598" t="s">
        <v>379</v>
      </c>
      <c r="E598" t="s">
        <v>790</v>
      </c>
      <c r="F598" s="2">
        <f t="shared" si="50"/>
        <v>3564</v>
      </c>
      <c r="G598" s="1">
        <f t="shared" si="46"/>
        <v>275000</v>
      </c>
      <c r="H598" s="2">
        <f t="shared" si="47"/>
        <v>114</v>
      </c>
      <c r="I598" s="2">
        <f t="shared" si="48"/>
        <v>8</v>
      </c>
      <c r="J598">
        <f t="shared" si="49"/>
        <v>180</v>
      </c>
    </row>
    <row r="599" spans="1:10" x14ac:dyDescent="0.2">
      <c r="A599" t="s">
        <v>1632</v>
      </c>
      <c r="B599" t="s">
        <v>325</v>
      </c>
      <c r="C599" t="s">
        <v>1633</v>
      </c>
      <c r="D599" t="s">
        <v>662</v>
      </c>
      <c r="E599" t="s">
        <v>1634</v>
      </c>
      <c r="F599" s="2">
        <f t="shared" si="50"/>
        <v>3571</v>
      </c>
      <c r="G599" s="1">
        <f t="shared" si="46"/>
        <v>600000</v>
      </c>
      <c r="H599" s="2">
        <f t="shared" si="47"/>
        <v>114</v>
      </c>
      <c r="I599" s="2">
        <f t="shared" si="48"/>
        <v>8</v>
      </c>
      <c r="J599">
        <f t="shared" si="49"/>
        <v>148</v>
      </c>
    </row>
    <row r="600" spans="1:10" x14ac:dyDescent="0.2">
      <c r="A600" t="s">
        <v>2441</v>
      </c>
      <c r="B600" t="s">
        <v>325</v>
      </c>
      <c r="C600" t="s">
        <v>2442</v>
      </c>
      <c r="D600" t="s">
        <v>977</v>
      </c>
      <c r="E600" t="s">
        <v>2443</v>
      </c>
      <c r="F600" s="2">
        <f t="shared" si="50"/>
        <v>3523</v>
      </c>
      <c r="G600" s="1">
        <f t="shared" si="46"/>
        <v>399500</v>
      </c>
      <c r="H600" s="2">
        <f t="shared" si="47"/>
        <v>114</v>
      </c>
      <c r="I600" s="2">
        <f t="shared" si="48"/>
        <v>8</v>
      </c>
      <c r="J600">
        <f t="shared" si="49"/>
        <v>93</v>
      </c>
    </row>
    <row r="601" spans="1:10" x14ac:dyDescent="0.2">
      <c r="A601" t="s">
        <v>2789</v>
      </c>
      <c r="B601" t="s">
        <v>102</v>
      </c>
      <c r="C601" t="s">
        <v>2790</v>
      </c>
      <c r="D601" t="s">
        <v>2791</v>
      </c>
      <c r="E601" t="s">
        <v>2792</v>
      </c>
      <c r="F601" s="2">
        <f t="shared" si="50"/>
        <v>3532</v>
      </c>
      <c r="G601" s="1">
        <f t="shared" si="46"/>
        <v>519000</v>
      </c>
      <c r="H601" s="2">
        <f t="shared" si="47"/>
        <v>114</v>
      </c>
      <c r="I601" s="2">
        <f t="shared" si="48"/>
        <v>8</v>
      </c>
      <c r="J601">
        <f t="shared" si="49"/>
        <v>114</v>
      </c>
    </row>
    <row r="602" spans="1:10" x14ac:dyDescent="0.2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s="2">
        <f t="shared" si="50"/>
        <v>3571</v>
      </c>
      <c r="G602" s="1">
        <f t="shared" si="46"/>
        <v>550000</v>
      </c>
      <c r="H602" s="2">
        <f t="shared" si="47"/>
        <v>115</v>
      </c>
      <c r="I602" s="2">
        <f t="shared" si="48"/>
        <v>8</v>
      </c>
      <c r="J602">
        <f t="shared" si="49"/>
        <v>137</v>
      </c>
    </row>
    <row r="603" spans="1:10" x14ac:dyDescent="0.2">
      <c r="A603" t="s">
        <v>87</v>
      </c>
      <c r="B603" t="s">
        <v>26</v>
      </c>
      <c r="C603" t="s">
        <v>88</v>
      </c>
      <c r="D603" t="s">
        <v>89</v>
      </c>
      <c r="E603" t="s">
        <v>90</v>
      </c>
      <c r="F603" s="2">
        <f t="shared" si="50"/>
        <v>3571</v>
      </c>
      <c r="G603" s="1">
        <f t="shared" si="46"/>
        <v>620000</v>
      </c>
      <c r="H603" s="2">
        <f t="shared" si="47"/>
        <v>115</v>
      </c>
      <c r="I603" s="2">
        <f t="shared" si="48"/>
        <v>8</v>
      </c>
      <c r="J603">
        <f t="shared" si="49"/>
        <v>132</v>
      </c>
    </row>
    <row r="604" spans="1:10" x14ac:dyDescent="0.2">
      <c r="A604" t="s">
        <v>341</v>
      </c>
      <c r="B604" t="s">
        <v>342</v>
      </c>
      <c r="C604" t="s">
        <v>343</v>
      </c>
      <c r="D604" t="s">
        <v>99</v>
      </c>
      <c r="E604" t="s">
        <v>344</v>
      </c>
      <c r="F604" s="2">
        <f t="shared" si="50"/>
        <v>3552</v>
      </c>
      <c r="G604" s="1">
        <f t="shared" si="46"/>
        <v>300000</v>
      </c>
      <c r="H604" s="2">
        <f t="shared" si="47"/>
        <v>115</v>
      </c>
      <c r="I604" s="2">
        <f t="shared" si="48"/>
        <v>0</v>
      </c>
      <c r="J604">
        <f t="shared" si="49"/>
        <v>0</v>
      </c>
    </row>
    <row r="605" spans="1:10" x14ac:dyDescent="0.2">
      <c r="A605" t="s">
        <v>383</v>
      </c>
      <c r="B605" t="s">
        <v>60</v>
      </c>
      <c r="C605" t="s">
        <v>384</v>
      </c>
      <c r="D605" t="s">
        <v>108</v>
      </c>
      <c r="E605" t="s">
        <v>385</v>
      </c>
      <c r="F605" s="2">
        <f t="shared" si="50"/>
        <v>3544</v>
      </c>
      <c r="G605" s="1">
        <f t="shared" si="46"/>
        <v>350000</v>
      </c>
      <c r="H605" s="2">
        <f t="shared" si="47"/>
        <v>115</v>
      </c>
      <c r="I605" s="2">
        <f t="shared" si="48"/>
        <v>8</v>
      </c>
      <c r="J605">
        <f t="shared" si="49"/>
        <v>173</v>
      </c>
    </row>
    <row r="606" spans="1:10" x14ac:dyDescent="0.2">
      <c r="A606" t="s">
        <v>2332</v>
      </c>
      <c r="B606" t="s">
        <v>451</v>
      </c>
      <c r="C606" t="s">
        <v>2333</v>
      </c>
      <c r="D606" t="s">
        <v>672</v>
      </c>
      <c r="E606" t="s">
        <v>2334</v>
      </c>
      <c r="F606" s="2">
        <f t="shared" si="50"/>
        <v>3581</v>
      </c>
      <c r="G606" s="1">
        <f t="shared" si="46"/>
        <v>480000</v>
      </c>
      <c r="H606" s="2">
        <f t="shared" si="47"/>
        <v>115</v>
      </c>
      <c r="I606" s="2">
        <f t="shared" si="48"/>
        <v>0</v>
      </c>
      <c r="J606">
        <f t="shared" si="49"/>
        <v>0</v>
      </c>
    </row>
    <row r="607" spans="1:10" x14ac:dyDescent="0.2">
      <c r="A607" t="s">
        <v>2647</v>
      </c>
      <c r="B607" t="s">
        <v>536</v>
      </c>
      <c r="C607" t="s">
        <v>2648</v>
      </c>
      <c r="D607" t="s">
        <v>2649</v>
      </c>
      <c r="E607" t="s">
        <v>2650</v>
      </c>
      <c r="F607" s="2">
        <f t="shared" si="50"/>
        <v>3528</v>
      </c>
      <c r="G607" s="1">
        <f t="shared" si="46"/>
        <v>384000</v>
      </c>
      <c r="H607" s="2">
        <f t="shared" si="47"/>
        <v>115</v>
      </c>
      <c r="I607" s="2">
        <f t="shared" si="48"/>
        <v>0</v>
      </c>
      <c r="J607">
        <f t="shared" si="49"/>
        <v>0</v>
      </c>
    </row>
    <row r="608" spans="1:10" x14ac:dyDescent="0.2">
      <c r="A608" t="s">
        <v>2898</v>
      </c>
      <c r="B608" t="s">
        <v>1014</v>
      </c>
      <c r="C608" t="s">
        <v>2899</v>
      </c>
      <c r="D608" t="s">
        <v>2900</v>
      </c>
      <c r="E608" t="s">
        <v>344</v>
      </c>
      <c r="F608" s="2">
        <f t="shared" si="50"/>
        <v>3553</v>
      </c>
      <c r="G608" s="1">
        <f t="shared" si="46"/>
        <v>379000</v>
      </c>
      <c r="H608" s="2">
        <f t="shared" si="47"/>
        <v>115</v>
      </c>
      <c r="I608" s="2">
        <f t="shared" si="48"/>
        <v>0</v>
      </c>
      <c r="J608">
        <f t="shared" si="49"/>
        <v>0</v>
      </c>
    </row>
    <row r="609" spans="1:10" x14ac:dyDescent="0.2">
      <c r="A609" t="s">
        <v>683</v>
      </c>
      <c r="B609" t="s">
        <v>200</v>
      </c>
      <c r="C609" t="s">
        <v>684</v>
      </c>
      <c r="D609" t="s">
        <v>177</v>
      </c>
      <c r="E609" t="s">
        <v>685</v>
      </c>
      <c r="F609" s="2">
        <f t="shared" si="50"/>
        <v>3533</v>
      </c>
      <c r="G609" s="1">
        <f t="shared" si="46"/>
        <v>395000</v>
      </c>
      <c r="H609" s="2">
        <f t="shared" si="47"/>
        <v>116</v>
      </c>
      <c r="I609" s="2">
        <f t="shared" si="48"/>
        <v>0</v>
      </c>
      <c r="J609">
        <f t="shared" si="49"/>
        <v>0</v>
      </c>
    </row>
    <row r="610" spans="1:10" x14ac:dyDescent="0.2">
      <c r="A610" t="s">
        <v>1279</v>
      </c>
      <c r="B610" t="s">
        <v>350</v>
      </c>
      <c r="C610" t="s">
        <v>1280</v>
      </c>
      <c r="D610" t="s">
        <v>1281</v>
      </c>
      <c r="E610" t="s">
        <v>1282</v>
      </c>
      <c r="F610" s="2">
        <f t="shared" si="50"/>
        <v>3541</v>
      </c>
      <c r="G610" s="1">
        <f t="shared" si="46"/>
        <v>542700</v>
      </c>
      <c r="H610" s="2">
        <f t="shared" si="47"/>
        <v>116</v>
      </c>
      <c r="I610" s="2">
        <f t="shared" si="48"/>
        <v>0</v>
      </c>
      <c r="J610">
        <f t="shared" si="49"/>
        <v>0</v>
      </c>
    </row>
    <row r="611" spans="1:10" x14ac:dyDescent="0.2">
      <c r="A611" t="s">
        <v>1699</v>
      </c>
      <c r="B611" t="s">
        <v>204</v>
      </c>
      <c r="C611" t="s">
        <v>1700</v>
      </c>
      <c r="D611" t="s">
        <v>52</v>
      </c>
      <c r="E611" t="s">
        <v>1701</v>
      </c>
      <c r="F611" s="2">
        <f t="shared" si="50"/>
        <v>3563</v>
      </c>
      <c r="G611" s="1">
        <f t="shared" si="46"/>
        <v>325000</v>
      </c>
      <c r="H611" s="2">
        <f t="shared" si="47"/>
        <v>116</v>
      </c>
      <c r="I611" s="2">
        <f t="shared" si="48"/>
        <v>8</v>
      </c>
      <c r="J611">
        <f t="shared" si="49"/>
        <v>163</v>
      </c>
    </row>
    <row r="612" spans="1:10" x14ac:dyDescent="0.2">
      <c r="A612" t="s">
        <v>2269</v>
      </c>
      <c r="B612" t="s">
        <v>524</v>
      </c>
      <c r="C612" t="s">
        <v>2270</v>
      </c>
      <c r="D612" t="s">
        <v>37</v>
      </c>
      <c r="E612" t="s">
        <v>2271</v>
      </c>
      <c r="F612" s="2">
        <f t="shared" si="50"/>
        <v>3531</v>
      </c>
      <c r="G612" s="1">
        <f t="shared" si="46"/>
        <v>375000</v>
      </c>
      <c r="H612" s="2">
        <f t="shared" si="47"/>
        <v>116</v>
      </c>
      <c r="I612" s="2">
        <f t="shared" si="48"/>
        <v>8</v>
      </c>
      <c r="J612">
        <f t="shared" si="49"/>
        <v>47</v>
      </c>
    </row>
    <row r="613" spans="1:10" x14ac:dyDescent="0.2">
      <c r="A613" t="s">
        <v>2427</v>
      </c>
      <c r="B613" t="s">
        <v>26</v>
      </c>
      <c r="C613" t="s">
        <v>2428</v>
      </c>
      <c r="D613" t="s">
        <v>526</v>
      </c>
      <c r="E613" t="s">
        <v>2429</v>
      </c>
      <c r="F613" s="2">
        <f t="shared" si="50"/>
        <v>3572</v>
      </c>
      <c r="G613" s="1">
        <f t="shared" si="46"/>
        <v>500000</v>
      </c>
      <c r="H613" s="2">
        <f t="shared" si="47"/>
        <v>116</v>
      </c>
      <c r="I613" s="2">
        <f t="shared" si="48"/>
        <v>8</v>
      </c>
      <c r="J613">
        <f t="shared" si="49"/>
        <v>96</v>
      </c>
    </row>
    <row r="614" spans="1:10" x14ac:dyDescent="0.2">
      <c r="A614" t="s">
        <v>2432</v>
      </c>
      <c r="B614" t="s">
        <v>736</v>
      </c>
      <c r="C614" t="s">
        <v>2433</v>
      </c>
      <c r="D614" t="s">
        <v>1225</v>
      </c>
      <c r="E614" t="s">
        <v>2434</v>
      </c>
      <c r="F614" s="2">
        <f t="shared" si="50"/>
        <v>3515</v>
      </c>
      <c r="G614" s="1">
        <f t="shared" si="46"/>
        <v>439000</v>
      </c>
      <c r="H614" s="2">
        <f t="shared" si="47"/>
        <v>116</v>
      </c>
      <c r="I614" s="2">
        <f t="shared" si="48"/>
        <v>8</v>
      </c>
      <c r="J614">
        <f t="shared" si="49"/>
        <v>101</v>
      </c>
    </row>
    <row r="615" spans="1:10" x14ac:dyDescent="0.2">
      <c r="A615" t="s">
        <v>2819</v>
      </c>
      <c r="B615" t="s">
        <v>187</v>
      </c>
      <c r="C615" t="s">
        <v>2820</v>
      </c>
      <c r="D615" t="s">
        <v>2821</v>
      </c>
      <c r="E615" t="s">
        <v>1282</v>
      </c>
      <c r="F615" s="2">
        <f t="shared" si="50"/>
        <v>3512</v>
      </c>
      <c r="G615" s="1">
        <f t="shared" si="46"/>
        <v>778000</v>
      </c>
      <c r="H615" s="2">
        <f t="shared" si="47"/>
        <v>116</v>
      </c>
      <c r="I615" s="2">
        <f t="shared" si="48"/>
        <v>0</v>
      </c>
      <c r="J615">
        <f t="shared" si="49"/>
        <v>0</v>
      </c>
    </row>
    <row r="616" spans="1:10" x14ac:dyDescent="0.2">
      <c r="A616" t="s">
        <v>191</v>
      </c>
      <c r="B616" t="s">
        <v>192</v>
      </c>
      <c r="C616" t="s">
        <v>193</v>
      </c>
      <c r="D616" t="s">
        <v>194</v>
      </c>
      <c r="E616" t="s">
        <v>195</v>
      </c>
      <c r="F616" s="2">
        <f t="shared" si="50"/>
        <v>3515</v>
      </c>
      <c r="G616" s="1">
        <f t="shared" si="46"/>
        <v>400000</v>
      </c>
      <c r="H616" s="2">
        <f t="shared" si="47"/>
        <v>117</v>
      </c>
      <c r="I616" s="2">
        <f t="shared" si="48"/>
        <v>0</v>
      </c>
      <c r="J616">
        <f t="shared" si="49"/>
        <v>0</v>
      </c>
    </row>
    <row r="617" spans="1:10" x14ac:dyDescent="0.2">
      <c r="A617" t="s">
        <v>704</v>
      </c>
      <c r="B617" t="s">
        <v>50</v>
      </c>
      <c r="C617" t="s">
        <v>705</v>
      </c>
      <c r="D617" t="s">
        <v>706</v>
      </c>
      <c r="E617" t="s">
        <v>707</v>
      </c>
      <c r="F617" s="2">
        <f t="shared" si="50"/>
        <v>3573</v>
      </c>
      <c r="G617" s="1">
        <f t="shared" si="46"/>
        <v>435000</v>
      </c>
      <c r="H617" s="2">
        <f t="shared" si="47"/>
        <v>117</v>
      </c>
      <c r="I617" s="2">
        <f t="shared" si="48"/>
        <v>8</v>
      </c>
      <c r="J617">
        <f t="shared" si="49"/>
        <v>59</v>
      </c>
    </row>
    <row r="618" spans="1:10" x14ac:dyDescent="0.2">
      <c r="A618" t="s">
        <v>1929</v>
      </c>
      <c r="B618" t="s">
        <v>102</v>
      </c>
      <c r="C618" t="s">
        <v>1930</v>
      </c>
      <c r="D618" t="s">
        <v>1931</v>
      </c>
      <c r="E618" t="s">
        <v>1932</v>
      </c>
      <c r="F618" s="2">
        <f t="shared" si="50"/>
        <v>3533</v>
      </c>
      <c r="G618" s="1">
        <f t="shared" si="46"/>
        <v>459000</v>
      </c>
      <c r="H618" s="2">
        <f t="shared" si="47"/>
        <v>117</v>
      </c>
      <c r="I618" s="2">
        <f t="shared" si="48"/>
        <v>8</v>
      </c>
      <c r="J618">
        <f t="shared" si="49"/>
        <v>101</v>
      </c>
    </row>
    <row r="619" spans="1:10" x14ac:dyDescent="0.2">
      <c r="A619" t="s">
        <v>2052</v>
      </c>
      <c r="B619" t="s">
        <v>417</v>
      </c>
      <c r="C619" t="s">
        <v>2053</v>
      </c>
      <c r="D619" t="s">
        <v>1129</v>
      </c>
      <c r="E619" t="s">
        <v>2054</v>
      </c>
      <c r="F619" s="2">
        <f t="shared" si="50"/>
        <v>3523</v>
      </c>
      <c r="G619" s="1">
        <f t="shared" si="46"/>
        <v>369000</v>
      </c>
      <c r="H619" s="2">
        <f t="shared" si="47"/>
        <v>117</v>
      </c>
      <c r="I619" s="2">
        <f t="shared" si="48"/>
        <v>8</v>
      </c>
      <c r="J619">
        <f t="shared" si="49"/>
        <v>179</v>
      </c>
    </row>
    <row r="620" spans="1:10" x14ac:dyDescent="0.2">
      <c r="A620" t="s">
        <v>2140</v>
      </c>
      <c r="B620" t="s">
        <v>306</v>
      </c>
      <c r="C620" t="s">
        <v>2141</v>
      </c>
      <c r="D620" t="s">
        <v>347</v>
      </c>
      <c r="E620" t="s">
        <v>2142</v>
      </c>
      <c r="F620" s="2">
        <f t="shared" si="50"/>
        <v>3544</v>
      </c>
      <c r="G620" s="1">
        <f t="shared" si="46"/>
        <v>315000</v>
      </c>
      <c r="H620" s="2">
        <f t="shared" si="47"/>
        <v>117</v>
      </c>
      <c r="I620" s="2">
        <f t="shared" si="48"/>
        <v>8</v>
      </c>
      <c r="J620">
        <f t="shared" si="49"/>
        <v>119</v>
      </c>
    </row>
    <row r="621" spans="1:10" x14ac:dyDescent="0.2">
      <c r="A621" t="s">
        <v>2275</v>
      </c>
      <c r="B621" t="s">
        <v>560</v>
      </c>
      <c r="C621" t="s">
        <v>2276</v>
      </c>
      <c r="D621" t="s">
        <v>430</v>
      </c>
      <c r="E621" t="s">
        <v>195</v>
      </c>
      <c r="F621" s="2">
        <f t="shared" si="50"/>
        <v>3533</v>
      </c>
      <c r="G621" s="1">
        <f t="shared" si="46"/>
        <v>250000</v>
      </c>
      <c r="H621" s="2">
        <f t="shared" si="47"/>
        <v>117</v>
      </c>
      <c r="I621" s="2">
        <f t="shared" si="48"/>
        <v>0</v>
      </c>
      <c r="J621">
        <f t="shared" si="49"/>
        <v>0</v>
      </c>
    </row>
    <row r="622" spans="1:10" x14ac:dyDescent="0.2">
      <c r="A622" t="s">
        <v>2744</v>
      </c>
      <c r="B622" t="s">
        <v>115</v>
      </c>
      <c r="C622" t="s">
        <v>2745</v>
      </c>
      <c r="D622" t="s">
        <v>706</v>
      </c>
      <c r="E622" t="s">
        <v>2746</v>
      </c>
      <c r="F622" s="2">
        <f t="shared" si="50"/>
        <v>3552</v>
      </c>
      <c r="G622" s="1">
        <f t="shared" si="46"/>
        <v>435000</v>
      </c>
      <c r="H622" s="2">
        <f t="shared" si="47"/>
        <v>117</v>
      </c>
      <c r="I622" s="2">
        <f t="shared" si="48"/>
        <v>8</v>
      </c>
      <c r="J622">
        <f t="shared" si="49"/>
        <v>121</v>
      </c>
    </row>
    <row r="623" spans="1:10" x14ac:dyDescent="0.2">
      <c r="A623" t="s">
        <v>2846</v>
      </c>
      <c r="B623" t="s">
        <v>64</v>
      </c>
      <c r="C623" t="s">
        <v>2847</v>
      </c>
      <c r="D623" t="s">
        <v>2032</v>
      </c>
      <c r="E623" t="s">
        <v>2848</v>
      </c>
      <c r="F623" s="2">
        <f t="shared" si="50"/>
        <v>3531</v>
      </c>
      <c r="G623" s="1">
        <f t="shared" si="46"/>
        <v>469000</v>
      </c>
      <c r="H623" s="2">
        <f t="shared" si="47"/>
        <v>117</v>
      </c>
      <c r="I623" s="2">
        <f t="shared" si="48"/>
        <v>8</v>
      </c>
      <c r="J623">
        <f t="shared" si="49"/>
        <v>100</v>
      </c>
    </row>
    <row r="624" spans="1:10" x14ac:dyDescent="0.2">
      <c r="A624" t="s">
        <v>2917</v>
      </c>
      <c r="B624" t="s">
        <v>264</v>
      </c>
      <c r="C624" t="s">
        <v>2918</v>
      </c>
      <c r="D624" t="s">
        <v>706</v>
      </c>
      <c r="E624" t="s">
        <v>2919</v>
      </c>
      <c r="F624" s="2">
        <f t="shared" ref="F624:F633" si="51">VALUE(LEFT(RIGHT(C624,15),4))</f>
        <v>3551</v>
      </c>
      <c r="G624" s="1">
        <f t="shared" si="46"/>
        <v>435000</v>
      </c>
      <c r="H624" s="2">
        <f t="shared" si="47"/>
        <v>117</v>
      </c>
      <c r="I624" s="2">
        <f t="shared" si="48"/>
        <v>8</v>
      </c>
      <c r="J624">
        <f t="shared" si="49"/>
        <v>74</v>
      </c>
    </row>
    <row r="625" spans="1:10" x14ac:dyDescent="0.2">
      <c r="A625" t="s">
        <v>1058</v>
      </c>
      <c r="B625" t="s">
        <v>833</v>
      </c>
      <c r="C625" t="s">
        <v>1059</v>
      </c>
      <c r="D625" t="s">
        <v>1060</v>
      </c>
      <c r="E625" t="s">
        <v>1061</v>
      </c>
      <c r="F625" s="2">
        <f t="shared" si="51"/>
        <v>3573</v>
      </c>
      <c r="G625" s="1">
        <f t="shared" si="46"/>
        <v>497000</v>
      </c>
      <c r="H625" s="2">
        <f t="shared" si="47"/>
        <v>118</v>
      </c>
      <c r="I625" s="2">
        <f t="shared" si="48"/>
        <v>8</v>
      </c>
      <c r="J625">
        <f t="shared" si="49"/>
        <v>151</v>
      </c>
    </row>
    <row r="626" spans="1:10" x14ac:dyDescent="0.2">
      <c r="A626" t="s">
        <v>1147</v>
      </c>
      <c r="B626" t="s">
        <v>60</v>
      </c>
      <c r="C626" t="s">
        <v>1148</v>
      </c>
      <c r="D626" t="s">
        <v>1149</v>
      </c>
      <c r="E626" t="s">
        <v>1150</v>
      </c>
      <c r="F626" s="2">
        <f t="shared" si="51"/>
        <v>3533</v>
      </c>
      <c r="G626" s="1">
        <f t="shared" si="46"/>
        <v>565000</v>
      </c>
      <c r="H626" s="2">
        <f t="shared" si="47"/>
        <v>118</v>
      </c>
      <c r="I626" s="2">
        <f t="shared" si="48"/>
        <v>8</v>
      </c>
      <c r="J626">
        <f t="shared" si="49"/>
        <v>126</v>
      </c>
    </row>
    <row r="627" spans="1:10" x14ac:dyDescent="0.2">
      <c r="A627" t="s">
        <v>1988</v>
      </c>
      <c r="B627" t="s">
        <v>115</v>
      </c>
      <c r="C627" t="s">
        <v>1989</v>
      </c>
      <c r="D627" t="s">
        <v>1428</v>
      </c>
      <c r="E627" t="s">
        <v>1990</v>
      </c>
      <c r="F627" s="2">
        <f t="shared" si="51"/>
        <v>3571</v>
      </c>
      <c r="G627" s="1">
        <f t="shared" si="46"/>
        <v>489500</v>
      </c>
      <c r="H627" s="2">
        <f t="shared" si="47"/>
        <v>118</v>
      </c>
      <c r="I627" s="2">
        <f t="shared" si="48"/>
        <v>8</v>
      </c>
      <c r="J627">
        <f t="shared" si="49"/>
        <v>138</v>
      </c>
    </row>
    <row r="628" spans="1:10" x14ac:dyDescent="0.2">
      <c r="A628" t="s">
        <v>2123</v>
      </c>
      <c r="B628" t="s">
        <v>16</v>
      </c>
      <c r="C628" t="s">
        <v>2124</v>
      </c>
      <c r="D628" t="s">
        <v>1819</v>
      </c>
      <c r="E628" t="s">
        <v>1990</v>
      </c>
      <c r="F628" s="2">
        <f t="shared" si="51"/>
        <v>3571</v>
      </c>
      <c r="G628" s="1">
        <f t="shared" si="46"/>
        <v>579000</v>
      </c>
      <c r="H628" s="2">
        <f t="shared" si="47"/>
        <v>118</v>
      </c>
      <c r="I628" s="2">
        <f t="shared" si="48"/>
        <v>8</v>
      </c>
      <c r="J628">
        <f t="shared" si="49"/>
        <v>138</v>
      </c>
    </row>
    <row r="629" spans="1:10" x14ac:dyDescent="0.2">
      <c r="A629" t="s">
        <v>2477</v>
      </c>
      <c r="B629" t="s">
        <v>69</v>
      </c>
      <c r="C629" t="s">
        <v>2478</v>
      </c>
      <c r="D629" t="s">
        <v>923</v>
      </c>
      <c r="E629" t="s">
        <v>2479</v>
      </c>
      <c r="F629" s="2">
        <f t="shared" si="51"/>
        <v>3552</v>
      </c>
      <c r="G629" s="1">
        <f t="shared" si="46"/>
        <v>398000</v>
      </c>
      <c r="H629" s="2">
        <f t="shared" si="47"/>
        <v>118</v>
      </c>
      <c r="I629" s="2">
        <f t="shared" si="48"/>
        <v>8</v>
      </c>
      <c r="J629">
        <f t="shared" si="49"/>
        <v>90</v>
      </c>
    </row>
    <row r="630" spans="1:10" x14ac:dyDescent="0.2">
      <c r="A630" t="s">
        <v>2586</v>
      </c>
      <c r="B630" t="s">
        <v>45</v>
      </c>
      <c r="C630" t="s">
        <v>2587</v>
      </c>
      <c r="D630" t="s">
        <v>601</v>
      </c>
      <c r="E630" t="s">
        <v>2588</v>
      </c>
      <c r="F630" s="2">
        <f t="shared" si="51"/>
        <v>3523</v>
      </c>
      <c r="G630" s="1">
        <f t="shared" si="46"/>
        <v>475000</v>
      </c>
      <c r="H630" s="2">
        <f t="shared" si="47"/>
        <v>118</v>
      </c>
      <c r="I630" s="2">
        <f t="shared" si="48"/>
        <v>8</v>
      </c>
      <c r="J630">
        <f t="shared" si="49"/>
        <v>130</v>
      </c>
    </row>
    <row r="631" spans="1:10" x14ac:dyDescent="0.2">
      <c r="A631" t="s">
        <v>2592</v>
      </c>
      <c r="B631" t="s">
        <v>560</v>
      </c>
      <c r="C631" t="s">
        <v>2593</v>
      </c>
      <c r="D631" t="s">
        <v>2032</v>
      </c>
      <c r="E631" t="s">
        <v>2594</v>
      </c>
      <c r="F631" s="2">
        <f t="shared" si="51"/>
        <v>3531</v>
      </c>
      <c r="G631" s="1">
        <f t="shared" si="46"/>
        <v>469000</v>
      </c>
      <c r="H631" s="2">
        <f t="shared" si="47"/>
        <v>118</v>
      </c>
      <c r="I631" s="2">
        <f t="shared" si="48"/>
        <v>8</v>
      </c>
      <c r="J631">
        <f t="shared" si="49"/>
        <v>115</v>
      </c>
    </row>
    <row r="632" spans="1:10" x14ac:dyDescent="0.2">
      <c r="A632" t="s">
        <v>639</v>
      </c>
      <c r="B632" t="s">
        <v>60</v>
      </c>
      <c r="C632" t="s">
        <v>640</v>
      </c>
      <c r="D632" t="s">
        <v>601</v>
      </c>
      <c r="E632" t="s">
        <v>641</v>
      </c>
      <c r="F632" s="2">
        <f t="shared" si="51"/>
        <v>3532</v>
      </c>
      <c r="G632" s="1">
        <f t="shared" si="46"/>
        <v>475000</v>
      </c>
      <c r="H632" s="2">
        <f t="shared" si="47"/>
        <v>119</v>
      </c>
      <c r="I632" s="2">
        <f t="shared" si="48"/>
        <v>8</v>
      </c>
      <c r="J632">
        <f t="shared" si="49"/>
        <v>120</v>
      </c>
    </row>
    <row r="633" spans="1:10" x14ac:dyDescent="0.2">
      <c r="A633" t="s">
        <v>1237</v>
      </c>
      <c r="B633" t="s">
        <v>524</v>
      </c>
      <c r="C633" t="s">
        <v>1238</v>
      </c>
      <c r="D633" t="s">
        <v>42</v>
      </c>
      <c r="E633" t="s">
        <v>1239</v>
      </c>
      <c r="F633" s="2">
        <f t="shared" si="51"/>
        <v>3571</v>
      </c>
      <c r="G633" s="1">
        <f t="shared" si="46"/>
        <v>550000</v>
      </c>
      <c r="H633" s="2">
        <f t="shared" si="47"/>
        <v>119</v>
      </c>
      <c r="I633" s="2">
        <f t="shared" si="48"/>
        <v>8</v>
      </c>
      <c r="J633">
        <f t="shared" si="49"/>
        <v>134</v>
      </c>
    </row>
    <row r="634" spans="1:10" x14ac:dyDescent="0.2">
      <c r="A634" t="s">
        <v>2655</v>
      </c>
      <c r="B634" t="s">
        <v>245</v>
      </c>
      <c r="C634" t="s">
        <v>2656</v>
      </c>
      <c r="D634" t="s">
        <v>2657</v>
      </c>
      <c r="E634" t="s">
        <v>2658</v>
      </c>
      <c r="F634" s="2">
        <v>3541</v>
      </c>
      <c r="G634" s="1">
        <f t="shared" si="46"/>
        <v>494000</v>
      </c>
      <c r="H634" s="2">
        <f t="shared" si="47"/>
        <v>119</v>
      </c>
      <c r="I634" s="2">
        <f t="shared" si="48"/>
        <v>0</v>
      </c>
      <c r="J634">
        <f t="shared" si="49"/>
        <v>0</v>
      </c>
    </row>
    <row r="635" spans="1:10" x14ac:dyDescent="0.2">
      <c r="A635" t="s">
        <v>2659</v>
      </c>
      <c r="B635" t="s">
        <v>316</v>
      </c>
      <c r="C635" t="s">
        <v>2660</v>
      </c>
      <c r="D635" t="s">
        <v>818</v>
      </c>
      <c r="E635" t="s">
        <v>2661</v>
      </c>
      <c r="F635" s="2">
        <f t="shared" ref="F635:F666" si="52">VALUE(LEFT(RIGHT(C635,15),4))</f>
        <v>3571</v>
      </c>
      <c r="G635" s="1">
        <f t="shared" si="46"/>
        <v>539000</v>
      </c>
      <c r="H635" s="2">
        <f t="shared" si="47"/>
        <v>119</v>
      </c>
      <c r="I635" s="2">
        <f t="shared" si="48"/>
        <v>8</v>
      </c>
      <c r="J635">
        <f t="shared" si="49"/>
        <v>142</v>
      </c>
    </row>
    <row r="636" spans="1:10" x14ac:dyDescent="0.2">
      <c r="A636" t="s">
        <v>2772</v>
      </c>
      <c r="B636" t="s">
        <v>1014</v>
      </c>
      <c r="C636" t="s">
        <v>2773</v>
      </c>
      <c r="D636" t="s">
        <v>2774</v>
      </c>
      <c r="E636" t="s">
        <v>2658</v>
      </c>
      <c r="F636" s="2">
        <f t="shared" si="52"/>
        <v>3531</v>
      </c>
      <c r="G636" s="1">
        <f t="shared" si="46"/>
        <v>389500</v>
      </c>
      <c r="H636" s="2">
        <f t="shared" si="47"/>
        <v>119</v>
      </c>
      <c r="I636" s="2">
        <f t="shared" si="48"/>
        <v>0</v>
      </c>
      <c r="J636">
        <f t="shared" si="49"/>
        <v>0</v>
      </c>
    </row>
    <row r="637" spans="1:10" x14ac:dyDescent="0.2">
      <c r="A637" t="s">
        <v>114</v>
      </c>
      <c r="B637" t="s">
        <v>115</v>
      </c>
      <c r="C637" t="s">
        <v>116</v>
      </c>
      <c r="D637" t="s">
        <v>117</v>
      </c>
      <c r="E637" t="s">
        <v>118</v>
      </c>
      <c r="F637" s="2">
        <f t="shared" si="52"/>
        <v>3561</v>
      </c>
      <c r="G637" s="1">
        <f t="shared" si="46"/>
        <v>269000</v>
      </c>
      <c r="H637" s="2">
        <f t="shared" si="47"/>
        <v>120</v>
      </c>
      <c r="I637" s="2">
        <f t="shared" si="48"/>
        <v>8</v>
      </c>
      <c r="J637">
        <f t="shared" si="49"/>
        <v>146</v>
      </c>
    </row>
    <row r="638" spans="1:10" x14ac:dyDescent="0.2">
      <c r="A638" t="s">
        <v>664</v>
      </c>
      <c r="B638" t="s">
        <v>64</v>
      </c>
      <c r="C638" t="s">
        <v>665</v>
      </c>
      <c r="D638" t="s">
        <v>331</v>
      </c>
      <c r="E638" t="s">
        <v>666</v>
      </c>
      <c r="F638" s="2">
        <f t="shared" si="52"/>
        <v>3552</v>
      </c>
      <c r="G638" s="1">
        <f t="shared" si="46"/>
        <v>389000</v>
      </c>
      <c r="H638" s="2">
        <f t="shared" si="47"/>
        <v>120</v>
      </c>
      <c r="I638" s="2">
        <f t="shared" si="48"/>
        <v>8</v>
      </c>
      <c r="J638">
        <f t="shared" si="49"/>
        <v>97</v>
      </c>
    </row>
    <row r="639" spans="1:10" x14ac:dyDescent="0.2">
      <c r="A639" t="s">
        <v>853</v>
      </c>
      <c r="B639" t="s">
        <v>311</v>
      </c>
      <c r="C639" t="s">
        <v>854</v>
      </c>
      <c r="D639" t="s">
        <v>855</v>
      </c>
      <c r="E639" t="s">
        <v>856</v>
      </c>
      <c r="F639" s="2">
        <f t="shared" si="52"/>
        <v>3533</v>
      </c>
      <c r="G639" s="1">
        <f t="shared" si="46"/>
        <v>495000</v>
      </c>
      <c r="H639" s="2">
        <f t="shared" si="47"/>
        <v>120</v>
      </c>
      <c r="I639" s="2">
        <f t="shared" si="48"/>
        <v>8</v>
      </c>
      <c r="J639">
        <f t="shared" si="49"/>
        <v>108</v>
      </c>
    </row>
    <row r="640" spans="1:10" x14ac:dyDescent="0.2">
      <c r="A640" t="s">
        <v>1021</v>
      </c>
      <c r="B640" t="s">
        <v>55</v>
      </c>
      <c r="C640" t="s">
        <v>1022</v>
      </c>
      <c r="D640" t="s">
        <v>1023</v>
      </c>
      <c r="E640" t="s">
        <v>1024</v>
      </c>
      <c r="F640" s="2">
        <f t="shared" si="52"/>
        <v>3514</v>
      </c>
      <c r="G640" s="1">
        <f t="shared" si="46"/>
        <v>585000</v>
      </c>
      <c r="H640" s="2">
        <f t="shared" si="47"/>
        <v>120</v>
      </c>
      <c r="I640" s="2">
        <f t="shared" si="48"/>
        <v>8</v>
      </c>
      <c r="J640">
        <f t="shared" si="49"/>
        <v>68</v>
      </c>
    </row>
    <row r="641" spans="1:10" x14ac:dyDescent="0.2">
      <c r="A641" t="s">
        <v>1080</v>
      </c>
      <c r="B641" t="s">
        <v>64</v>
      </c>
      <c r="C641" t="s">
        <v>1081</v>
      </c>
      <c r="D641" t="s">
        <v>52</v>
      </c>
      <c r="E641" t="s">
        <v>1082</v>
      </c>
      <c r="F641" s="2">
        <f t="shared" si="52"/>
        <v>3543</v>
      </c>
      <c r="G641" s="1">
        <f t="shared" si="46"/>
        <v>325000</v>
      </c>
      <c r="H641" s="2">
        <f t="shared" si="47"/>
        <v>120</v>
      </c>
      <c r="I641" s="2">
        <f t="shared" si="48"/>
        <v>8</v>
      </c>
      <c r="J641">
        <f t="shared" si="49"/>
        <v>116</v>
      </c>
    </row>
    <row r="642" spans="1:10" x14ac:dyDescent="0.2">
      <c r="A642" t="s">
        <v>1442</v>
      </c>
      <c r="B642" t="s">
        <v>11</v>
      </c>
      <c r="C642" t="s">
        <v>1443</v>
      </c>
      <c r="D642" t="s">
        <v>37</v>
      </c>
      <c r="E642" t="s">
        <v>1444</v>
      </c>
      <c r="F642" s="2">
        <f t="shared" si="52"/>
        <v>3544</v>
      </c>
      <c r="G642" s="1">
        <f t="shared" ref="G642:G705" si="53">VALUE(MID(D642,3,FIND(" ",D642,3)-3))</f>
        <v>375000</v>
      </c>
      <c r="H642" s="2">
        <f t="shared" ref="H642:H705" si="54">VALUE(LEFT(E642,FIND(" ",E642,1)-1))</f>
        <v>120</v>
      </c>
      <c r="I642" s="2">
        <f t="shared" ref="I642:I705" si="55">IFERROR(FIND("/",E642,1),0)</f>
        <v>0</v>
      </c>
      <c r="J642">
        <f t="shared" ref="J642:J705" si="56">IF(I642=0,0,VALUE(MID(E642,FIND("/",E642,1)+2,(FIND(" ",E642,FIND("/",E642,1)+2)-(FIND("/",E642,1))-1))))</f>
        <v>0</v>
      </c>
    </row>
    <row r="643" spans="1:10" x14ac:dyDescent="0.2">
      <c r="A643" t="s">
        <v>1537</v>
      </c>
      <c r="B643" t="s">
        <v>45</v>
      </c>
      <c r="C643" t="s">
        <v>1538</v>
      </c>
      <c r="D643" t="s">
        <v>159</v>
      </c>
      <c r="E643" t="s">
        <v>1539</v>
      </c>
      <c r="F643" s="2">
        <f t="shared" si="52"/>
        <v>3543</v>
      </c>
      <c r="G643" s="1">
        <f t="shared" si="53"/>
        <v>425000</v>
      </c>
      <c r="H643" s="2">
        <f t="shared" si="54"/>
        <v>120</v>
      </c>
      <c r="I643" s="2">
        <f t="shared" si="55"/>
        <v>8</v>
      </c>
      <c r="J643">
        <f t="shared" si="56"/>
        <v>162</v>
      </c>
    </row>
    <row r="644" spans="1:10" x14ac:dyDescent="0.2">
      <c r="A644" t="s">
        <v>2713</v>
      </c>
      <c r="B644" t="s">
        <v>377</v>
      </c>
      <c r="C644" t="s">
        <v>2714</v>
      </c>
      <c r="D644" t="s">
        <v>601</v>
      </c>
      <c r="E644" t="s">
        <v>2715</v>
      </c>
      <c r="F644" s="2">
        <f t="shared" si="52"/>
        <v>3514</v>
      </c>
      <c r="G644" s="1">
        <f t="shared" si="53"/>
        <v>475000</v>
      </c>
      <c r="H644" s="2">
        <f t="shared" si="54"/>
        <v>120</v>
      </c>
      <c r="I644" s="2">
        <f t="shared" si="55"/>
        <v>8</v>
      </c>
      <c r="J644">
        <f t="shared" si="56"/>
        <v>59</v>
      </c>
    </row>
    <row r="645" spans="1:10" x14ac:dyDescent="0.2">
      <c r="A645" t="s">
        <v>2825</v>
      </c>
      <c r="B645" t="s">
        <v>50</v>
      </c>
      <c r="C645" t="s">
        <v>2826</v>
      </c>
      <c r="D645" t="s">
        <v>2065</v>
      </c>
      <c r="E645" t="s">
        <v>2827</v>
      </c>
      <c r="F645" s="2">
        <f t="shared" si="52"/>
        <v>3571</v>
      </c>
      <c r="G645" s="1">
        <f t="shared" si="53"/>
        <v>559000</v>
      </c>
      <c r="H645" s="2">
        <f t="shared" si="54"/>
        <v>120</v>
      </c>
      <c r="I645" s="2">
        <f t="shared" si="55"/>
        <v>8</v>
      </c>
      <c r="J645">
        <f t="shared" si="56"/>
        <v>128</v>
      </c>
    </row>
    <row r="646" spans="1:10" x14ac:dyDescent="0.2">
      <c r="A646" t="s">
        <v>2901</v>
      </c>
      <c r="B646" t="s">
        <v>21</v>
      </c>
      <c r="C646" t="s">
        <v>2902</v>
      </c>
      <c r="D646" t="s">
        <v>423</v>
      </c>
      <c r="E646" t="s">
        <v>2903</v>
      </c>
      <c r="F646" s="2">
        <f t="shared" si="52"/>
        <v>3524</v>
      </c>
      <c r="G646" s="1">
        <f t="shared" si="53"/>
        <v>385000</v>
      </c>
      <c r="H646" s="2">
        <f t="shared" si="54"/>
        <v>120</v>
      </c>
      <c r="I646" s="2">
        <f t="shared" si="55"/>
        <v>8</v>
      </c>
      <c r="J646">
        <f t="shared" si="56"/>
        <v>107</v>
      </c>
    </row>
    <row r="647" spans="1:10" x14ac:dyDescent="0.2">
      <c r="A647" t="s">
        <v>2312</v>
      </c>
      <c r="B647" t="s">
        <v>254</v>
      </c>
      <c r="C647" t="s">
        <v>2313</v>
      </c>
      <c r="D647" t="s">
        <v>1023</v>
      </c>
      <c r="E647" t="s">
        <v>2314</v>
      </c>
      <c r="F647" s="2">
        <f t="shared" si="52"/>
        <v>3532</v>
      </c>
      <c r="G647" s="1">
        <f t="shared" si="53"/>
        <v>585000</v>
      </c>
      <c r="H647" s="2">
        <f t="shared" si="54"/>
        <v>121</v>
      </c>
      <c r="I647" s="2">
        <f t="shared" si="55"/>
        <v>0</v>
      </c>
      <c r="J647">
        <f t="shared" si="56"/>
        <v>0</v>
      </c>
    </row>
    <row r="648" spans="1:10" x14ac:dyDescent="0.2">
      <c r="A648" t="s">
        <v>228</v>
      </c>
      <c r="B648" t="s">
        <v>229</v>
      </c>
      <c r="C648" t="s">
        <v>230</v>
      </c>
      <c r="D648" t="s">
        <v>231</v>
      </c>
      <c r="E648" t="s">
        <v>232</v>
      </c>
      <c r="F648" s="2">
        <f t="shared" si="52"/>
        <v>3583</v>
      </c>
      <c r="G648" s="1">
        <f t="shared" si="53"/>
        <v>745000</v>
      </c>
      <c r="H648" s="2">
        <f t="shared" si="54"/>
        <v>122</v>
      </c>
      <c r="I648" s="2">
        <f t="shared" si="55"/>
        <v>8</v>
      </c>
      <c r="J648">
        <f t="shared" si="56"/>
        <v>107</v>
      </c>
    </row>
    <row r="649" spans="1:10" x14ac:dyDescent="0.2">
      <c r="A649" t="s">
        <v>574</v>
      </c>
      <c r="B649" t="s">
        <v>575</v>
      </c>
      <c r="C649" t="s">
        <v>576</v>
      </c>
      <c r="D649" t="s">
        <v>194</v>
      </c>
      <c r="E649" t="s">
        <v>577</v>
      </c>
      <c r="F649" s="2">
        <f t="shared" si="52"/>
        <v>3523</v>
      </c>
      <c r="G649" s="1">
        <f t="shared" si="53"/>
        <v>400000</v>
      </c>
      <c r="H649" s="2">
        <f t="shared" si="54"/>
        <v>122</v>
      </c>
      <c r="I649" s="2">
        <f t="shared" si="55"/>
        <v>8</v>
      </c>
      <c r="J649">
        <f t="shared" si="56"/>
        <v>92</v>
      </c>
    </row>
    <row r="650" spans="1:10" x14ac:dyDescent="0.2">
      <c r="A650" t="s">
        <v>877</v>
      </c>
      <c r="B650" t="s">
        <v>254</v>
      </c>
      <c r="C650" t="s">
        <v>878</v>
      </c>
      <c r="D650" t="s">
        <v>52</v>
      </c>
      <c r="E650" t="s">
        <v>879</v>
      </c>
      <c r="F650" s="2">
        <f t="shared" si="52"/>
        <v>3554</v>
      </c>
      <c r="G650" s="1">
        <f t="shared" si="53"/>
        <v>325000</v>
      </c>
      <c r="H650" s="2">
        <f t="shared" si="54"/>
        <v>122</v>
      </c>
      <c r="I650" s="2">
        <f t="shared" si="55"/>
        <v>8</v>
      </c>
      <c r="J650">
        <f t="shared" si="56"/>
        <v>136</v>
      </c>
    </row>
    <row r="651" spans="1:10" x14ac:dyDescent="0.2">
      <c r="A651" t="s">
        <v>1204</v>
      </c>
      <c r="B651" t="s">
        <v>325</v>
      </c>
      <c r="C651" t="s">
        <v>1205</v>
      </c>
      <c r="D651" t="s">
        <v>211</v>
      </c>
      <c r="E651" t="s">
        <v>1206</v>
      </c>
      <c r="F651" s="2">
        <f t="shared" si="52"/>
        <v>3572</v>
      </c>
      <c r="G651" s="1">
        <f t="shared" si="53"/>
        <v>695000</v>
      </c>
      <c r="H651" s="2">
        <f t="shared" si="54"/>
        <v>122</v>
      </c>
      <c r="I651" s="2">
        <f t="shared" si="55"/>
        <v>8</v>
      </c>
      <c r="J651">
        <f t="shared" si="56"/>
        <v>92</v>
      </c>
    </row>
    <row r="652" spans="1:10" x14ac:dyDescent="0.2">
      <c r="A652" t="s">
        <v>1268</v>
      </c>
      <c r="B652" t="s">
        <v>833</v>
      </c>
      <c r="C652" t="s">
        <v>1269</v>
      </c>
      <c r="D652" t="s">
        <v>145</v>
      </c>
      <c r="E652" t="s">
        <v>879</v>
      </c>
      <c r="F652" s="2">
        <f t="shared" si="52"/>
        <v>3571</v>
      </c>
      <c r="G652" s="1">
        <f t="shared" si="53"/>
        <v>589000</v>
      </c>
      <c r="H652" s="2">
        <f t="shared" si="54"/>
        <v>122</v>
      </c>
      <c r="I652" s="2">
        <f t="shared" si="55"/>
        <v>8</v>
      </c>
      <c r="J652">
        <f t="shared" si="56"/>
        <v>136</v>
      </c>
    </row>
    <row r="653" spans="1:10" x14ac:dyDescent="0.2">
      <c r="A653" t="s">
        <v>2157</v>
      </c>
      <c r="B653" t="s">
        <v>513</v>
      </c>
      <c r="C653" t="s">
        <v>2158</v>
      </c>
      <c r="D653" t="s">
        <v>580</v>
      </c>
      <c r="E653" t="s">
        <v>2159</v>
      </c>
      <c r="F653" s="2">
        <f t="shared" si="52"/>
        <v>3533</v>
      </c>
      <c r="G653" s="1">
        <f t="shared" si="53"/>
        <v>569000</v>
      </c>
      <c r="H653" s="2">
        <f t="shared" si="54"/>
        <v>122</v>
      </c>
      <c r="I653" s="2">
        <f t="shared" si="55"/>
        <v>8</v>
      </c>
      <c r="J653">
        <f t="shared" si="56"/>
        <v>133</v>
      </c>
    </row>
    <row r="654" spans="1:10" x14ac:dyDescent="0.2">
      <c r="A654" t="s">
        <v>2277</v>
      </c>
      <c r="B654" t="s">
        <v>55</v>
      </c>
      <c r="C654" t="s">
        <v>2278</v>
      </c>
      <c r="D654" t="s">
        <v>76</v>
      </c>
      <c r="E654" t="s">
        <v>2279</v>
      </c>
      <c r="F654" s="2">
        <f t="shared" si="52"/>
        <v>3581</v>
      </c>
      <c r="G654" s="1">
        <f t="shared" si="53"/>
        <v>650000</v>
      </c>
      <c r="H654" s="2">
        <f t="shared" si="54"/>
        <v>122</v>
      </c>
      <c r="I654" s="2">
        <f t="shared" si="55"/>
        <v>8</v>
      </c>
      <c r="J654">
        <f t="shared" si="56"/>
        <v>90</v>
      </c>
    </row>
    <row r="655" spans="1:10" x14ac:dyDescent="0.2">
      <c r="A655" t="s">
        <v>2687</v>
      </c>
      <c r="B655" t="s">
        <v>417</v>
      </c>
      <c r="C655" t="s">
        <v>2688</v>
      </c>
      <c r="D655" t="s">
        <v>495</v>
      </c>
      <c r="E655" t="s">
        <v>2689</v>
      </c>
      <c r="F655" s="2">
        <f t="shared" si="52"/>
        <v>3541</v>
      </c>
      <c r="G655" s="1">
        <f t="shared" si="53"/>
        <v>415000</v>
      </c>
      <c r="H655" s="2">
        <f t="shared" si="54"/>
        <v>122</v>
      </c>
      <c r="I655" s="2">
        <f t="shared" si="55"/>
        <v>8</v>
      </c>
      <c r="J655">
        <f t="shared" si="56"/>
        <v>147</v>
      </c>
    </row>
    <row r="656" spans="1:10" x14ac:dyDescent="0.2">
      <c r="A656" t="s">
        <v>450</v>
      </c>
      <c r="B656" t="s">
        <v>451</v>
      </c>
      <c r="C656" t="s">
        <v>452</v>
      </c>
      <c r="D656" t="s">
        <v>211</v>
      </c>
      <c r="E656" t="s">
        <v>453</v>
      </c>
      <c r="F656" s="2">
        <f t="shared" si="52"/>
        <v>3571</v>
      </c>
      <c r="G656" s="1">
        <f t="shared" si="53"/>
        <v>695000</v>
      </c>
      <c r="H656" s="2">
        <f t="shared" si="54"/>
        <v>123</v>
      </c>
      <c r="I656" s="2">
        <f t="shared" si="55"/>
        <v>8</v>
      </c>
      <c r="J656">
        <f t="shared" si="56"/>
        <v>281</v>
      </c>
    </row>
    <row r="657" spans="1:10" x14ac:dyDescent="0.2">
      <c r="A657" t="s">
        <v>1054</v>
      </c>
      <c r="B657" t="s">
        <v>240</v>
      </c>
      <c r="C657" t="s">
        <v>1055</v>
      </c>
      <c r="D657" t="s">
        <v>1056</v>
      </c>
      <c r="E657" t="s">
        <v>1057</v>
      </c>
      <c r="F657" s="2">
        <f t="shared" si="52"/>
        <v>3541</v>
      </c>
      <c r="G657" s="1">
        <f t="shared" si="53"/>
        <v>440000</v>
      </c>
      <c r="H657" s="2">
        <f t="shared" si="54"/>
        <v>123</v>
      </c>
      <c r="I657" s="2">
        <f t="shared" si="55"/>
        <v>0</v>
      </c>
      <c r="J657">
        <f t="shared" si="56"/>
        <v>0</v>
      </c>
    </row>
    <row r="658" spans="1:10" x14ac:dyDescent="0.2">
      <c r="A658" t="s">
        <v>1467</v>
      </c>
      <c r="B658" t="s">
        <v>513</v>
      </c>
      <c r="C658" t="s">
        <v>1468</v>
      </c>
      <c r="D658" t="s">
        <v>818</v>
      </c>
      <c r="E658" t="s">
        <v>1469</v>
      </c>
      <c r="F658" s="2">
        <f t="shared" si="52"/>
        <v>3515</v>
      </c>
      <c r="G658" s="1">
        <f t="shared" si="53"/>
        <v>539000</v>
      </c>
      <c r="H658" s="2">
        <f t="shared" si="54"/>
        <v>123</v>
      </c>
      <c r="I658" s="2">
        <f t="shared" si="55"/>
        <v>8</v>
      </c>
      <c r="J658">
        <f t="shared" si="56"/>
        <v>119</v>
      </c>
    </row>
    <row r="659" spans="1:10" x14ac:dyDescent="0.2">
      <c r="A659" t="s">
        <v>1533</v>
      </c>
      <c r="B659" t="s">
        <v>451</v>
      </c>
      <c r="C659" t="s">
        <v>452</v>
      </c>
      <c r="D659" t="s">
        <v>211</v>
      </c>
      <c r="E659" t="s">
        <v>453</v>
      </c>
      <c r="F659" s="2">
        <f t="shared" si="52"/>
        <v>3571</v>
      </c>
      <c r="G659" s="1">
        <f t="shared" si="53"/>
        <v>695000</v>
      </c>
      <c r="H659" s="2">
        <f t="shared" si="54"/>
        <v>123</v>
      </c>
      <c r="I659" s="2">
        <f t="shared" si="55"/>
        <v>8</v>
      </c>
      <c r="J659">
        <f t="shared" si="56"/>
        <v>281</v>
      </c>
    </row>
    <row r="660" spans="1:10" x14ac:dyDescent="0.2">
      <c r="A660" t="s">
        <v>1597</v>
      </c>
      <c r="B660" t="s">
        <v>264</v>
      </c>
      <c r="C660" t="s">
        <v>1598</v>
      </c>
      <c r="D660" t="s">
        <v>1599</v>
      </c>
      <c r="E660" t="s">
        <v>1600</v>
      </c>
      <c r="F660" s="2">
        <f t="shared" si="52"/>
        <v>3561</v>
      </c>
      <c r="G660" s="1">
        <f t="shared" si="53"/>
        <v>340000</v>
      </c>
      <c r="H660" s="2">
        <f t="shared" si="54"/>
        <v>123</v>
      </c>
      <c r="I660" s="2">
        <f t="shared" si="55"/>
        <v>8</v>
      </c>
      <c r="J660">
        <f t="shared" si="56"/>
        <v>109</v>
      </c>
    </row>
    <row r="661" spans="1:10" x14ac:dyDescent="0.2">
      <c r="A661" t="s">
        <v>1732</v>
      </c>
      <c r="B661" t="s">
        <v>264</v>
      </c>
      <c r="C661" t="s">
        <v>1733</v>
      </c>
      <c r="D661" t="s">
        <v>194</v>
      </c>
      <c r="E661" t="s">
        <v>1734</v>
      </c>
      <c r="F661" s="2">
        <f t="shared" si="52"/>
        <v>3541</v>
      </c>
      <c r="G661" s="1">
        <f t="shared" si="53"/>
        <v>400000</v>
      </c>
      <c r="H661" s="2">
        <f t="shared" si="54"/>
        <v>123</v>
      </c>
      <c r="I661" s="2">
        <f t="shared" si="55"/>
        <v>8</v>
      </c>
      <c r="J661">
        <f t="shared" si="56"/>
        <v>117</v>
      </c>
    </row>
    <row r="662" spans="1:10" x14ac:dyDescent="0.2">
      <c r="A662" t="s">
        <v>2111</v>
      </c>
      <c r="B662" t="s">
        <v>130</v>
      </c>
      <c r="C662" t="s">
        <v>2112</v>
      </c>
      <c r="D662" t="s">
        <v>159</v>
      </c>
      <c r="E662" t="s">
        <v>2113</v>
      </c>
      <c r="F662" s="2">
        <f t="shared" si="52"/>
        <v>3523</v>
      </c>
      <c r="G662" s="1">
        <f t="shared" si="53"/>
        <v>425000</v>
      </c>
      <c r="H662" s="2">
        <f t="shared" si="54"/>
        <v>123</v>
      </c>
      <c r="I662" s="2">
        <f t="shared" si="55"/>
        <v>8</v>
      </c>
      <c r="J662">
        <f t="shared" si="56"/>
        <v>127</v>
      </c>
    </row>
    <row r="663" spans="1:10" x14ac:dyDescent="0.2">
      <c r="A663" t="s">
        <v>2308</v>
      </c>
      <c r="B663" t="s">
        <v>21</v>
      </c>
      <c r="C663" t="s">
        <v>2309</v>
      </c>
      <c r="D663" t="s">
        <v>2310</v>
      </c>
      <c r="E663" t="s">
        <v>2311</v>
      </c>
      <c r="F663" s="2">
        <f t="shared" si="52"/>
        <v>3573</v>
      </c>
      <c r="G663" s="1">
        <f t="shared" si="53"/>
        <v>495000</v>
      </c>
      <c r="H663" s="2">
        <f t="shared" si="54"/>
        <v>123</v>
      </c>
      <c r="I663" s="2">
        <f t="shared" si="55"/>
        <v>0</v>
      </c>
      <c r="J663">
        <f t="shared" si="56"/>
        <v>0</v>
      </c>
    </row>
    <row r="664" spans="1:10" x14ac:dyDescent="0.2">
      <c r="A664" t="s">
        <v>63</v>
      </c>
      <c r="B664" t="s">
        <v>64</v>
      </c>
      <c r="C664" t="s">
        <v>65</v>
      </c>
      <c r="D664" t="s">
        <v>66</v>
      </c>
      <c r="E664" t="s">
        <v>67</v>
      </c>
      <c r="F664" s="2">
        <f t="shared" si="52"/>
        <v>3555</v>
      </c>
      <c r="G664" s="1">
        <f t="shared" si="53"/>
        <v>349000</v>
      </c>
      <c r="H664" s="2">
        <f t="shared" si="54"/>
        <v>124</v>
      </c>
      <c r="I664" s="2">
        <f t="shared" si="55"/>
        <v>8</v>
      </c>
      <c r="J664">
        <f t="shared" si="56"/>
        <v>180</v>
      </c>
    </row>
    <row r="665" spans="1:10" x14ac:dyDescent="0.2">
      <c r="A665" t="s">
        <v>615</v>
      </c>
      <c r="B665" t="s">
        <v>125</v>
      </c>
      <c r="C665" t="s">
        <v>616</v>
      </c>
      <c r="D665" t="s">
        <v>617</v>
      </c>
      <c r="E665" t="s">
        <v>618</v>
      </c>
      <c r="F665" s="2">
        <f t="shared" si="52"/>
        <v>3541</v>
      </c>
      <c r="G665" s="1">
        <f t="shared" si="53"/>
        <v>399500</v>
      </c>
      <c r="H665" s="2">
        <f t="shared" si="54"/>
        <v>124</v>
      </c>
      <c r="I665" s="2">
        <f t="shared" si="55"/>
        <v>0</v>
      </c>
      <c r="J665">
        <f t="shared" si="56"/>
        <v>0</v>
      </c>
    </row>
    <row r="666" spans="1:10" x14ac:dyDescent="0.2">
      <c r="A666" t="s">
        <v>898</v>
      </c>
      <c r="B666" t="s">
        <v>125</v>
      </c>
      <c r="C666" t="s">
        <v>899</v>
      </c>
      <c r="D666" t="s">
        <v>900</v>
      </c>
      <c r="E666" t="s">
        <v>618</v>
      </c>
      <c r="F666" s="2">
        <f t="shared" si="52"/>
        <v>3541</v>
      </c>
      <c r="G666" s="1">
        <f t="shared" si="53"/>
        <v>429500</v>
      </c>
      <c r="H666" s="2">
        <f t="shared" si="54"/>
        <v>124</v>
      </c>
      <c r="I666" s="2">
        <f t="shared" si="55"/>
        <v>0</v>
      </c>
      <c r="J666">
        <f t="shared" si="56"/>
        <v>0</v>
      </c>
    </row>
    <row r="667" spans="1:10" x14ac:dyDescent="0.2">
      <c r="A667" t="s">
        <v>1616</v>
      </c>
      <c r="B667" t="s">
        <v>209</v>
      </c>
      <c r="C667" t="s">
        <v>1617</v>
      </c>
      <c r="D667" t="s">
        <v>159</v>
      </c>
      <c r="E667" t="s">
        <v>1618</v>
      </c>
      <c r="F667" s="2">
        <f t="shared" ref="F667:F698" si="57">VALUE(LEFT(RIGHT(C667,15),4))</f>
        <v>3544</v>
      </c>
      <c r="G667" s="1">
        <f t="shared" si="53"/>
        <v>425000</v>
      </c>
      <c r="H667" s="2">
        <f t="shared" si="54"/>
        <v>124</v>
      </c>
      <c r="I667" s="2">
        <f t="shared" si="55"/>
        <v>8</v>
      </c>
      <c r="J667">
        <f t="shared" si="56"/>
        <v>102</v>
      </c>
    </row>
    <row r="668" spans="1:10" x14ac:dyDescent="0.2">
      <c r="A668" t="s">
        <v>2163</v>
      </c>
      <c r="B668" t="s">
        <v>833</v>
      </c>
      <c r="C668" t="s">
        <v>2164</v>
      </c>
      <c r="D668" t="s">
        <v>42</v>
      </c>
      <c r="E668" t="s">
        <v>2165</v>
      </c>
      <c r="F668" s="2">
        <f t="shared" si="57"/>
        <v>3515</v>
      </c>
      <c r="G668" s="1">
        <f t="shared" si="53"/>
        <v>550000</v>
      </c>
      <c r="H668" s="2">
        <f t="shared" si="54"/>
        <v>124</v>
      </c>
      <c r="I668" s="2">
        <f t="shared" si="55"/>
        <v>8</v>
      </c>
      <c r="J668">
        <f t="shared" si="56"/>
        <v>98</v>
      </c>
    </row>
    <row r="669" spans="1:10" x14ac:dyDescent="0.2">
      <c r="A669" t="s">
        <v>283</v>
      </c>
      <c r="B669" t="s">
        <v>125</v>
      </c>
      <c r="C669" t="s">
        <v>284</v>
      </c>
      <c r="D669" t="s">
        <v>285</v>
      </c>
      <c r="E669" t="s">
        <v>286</v>
      </c>
      <c r="F669" s="2">
        <f t="shared" si="57"/>
        <v>3543</v>
      </c>
      <c r="G669" s="1">
        <f t="shared" si="53"/>
        <v>398500</v>
      </c>
      <c r="H669" s="2">
        <f t="shared" si="54"/>
        <v>125</v>
      </c>
      <c r="I669" s="2">
        <f t="shared" si="55"/>
        <v>0</v>
      </c>
      <c r="J669">
        <f t="shared" si="56"/>
        <v>0</v>
      </c>
    </row>
    <row r="670" spans="1:10" x14ac:dyDescent="0.2">
      <c r="A670" t="s">
        <v>523</v>
      </c>
      <c r="B670" t="s">
        <v>524</v>
      </c>
      <c r="C670" t="s">
        <v>525</v>
      </c>
      <c r="D670" t="s">
        <v>526</v>
      </c>
      <c r="E670" t="s">
        <v>527</v>
      </c>
      <c r="F670" s="2">
        <f t="shared" si="57"/>
        <v>3581</v>
      </c>
      <c r="G670" s="1">
        <f t="shared" si="53"/>
        <v>500000</v>
      </c>
      <c r="H670" s="2">
        <f t="shared" si="54"/>
        <v>125</v>
      </c>
      <c r="I670" s="2">
        <f t="shared" si="55"/>
        <v>0</v>
      </c>
      <c r="J670">
        <f t="shared" si="56"/>
        <v>0</v>
      </c>
    </row>
    <row r="671" spans="1:10" x14ac:dyDescent="0.2">
      <c r="A671" t="s">
        <v>555</v>
      </c>
      <c r="B671" t="s">
        <v>536</v>
      </c>
      <c r="C671" t="s">
        <v>556</v>
      </c>
      <c r="D671" t="s">
        <v>557</v>
      </c>
      <c r="E671" t="s">
        <v>558</v>
      </c>
      <c r="F671" s="2">
        <f t="shared" si="57"/>
        <v>3528</v>
      </c>
      <c r="G671" s="1">
        <f t="shared" si="53"/>
        <v>689000</v>
      </c>
      <c r="H671" s="2">
        <f t="shared" si="54"/>
        <v>125</v>
      </c>
      <c r="I671" s="2">
        <f t="shared" si="55"/>
        <v>0</v>
      </c>
      <c r="J671">
        <f t="shared" si="56"/>
        <v>0</v>
      </c>
    </row>
    <row r="672" spans="1:10" x14ac:dyDescent="0.2">
      <c r="A672" t="s">
        <v>813</v>
      </c>
      <c r="B672" t="s">
        <v>92</v>
      </c>
      <c r="C672" t="s">
        <v>814</v>
      </c>
      <c r="D672" t="s">
        <v>194</v>
      </c>
      <c r="E672" t="s">
        <v>815</v>
      </c>
      <c r="F672" s="2">
        <f t="shared" si="57"/>
        <v>3561</v>
      </c>
      <c r="G672" s="1">
        <f t="shared" si="53"/>
        <v>400000</v>
      </c>
      <c r="H672" s="2">
        <f t="shared" si="54"/>
        <v>125</v>
      </c>
      <c r="I672" s="2">
        <f t="shared" si="55"/>
        <v>8</v>
      </c>
      <c r="J672">
        <f t="shared" si="56"/>
        <v>215</v>
      </c>
    </row>
    <row r="673" spans="1:10" x14ac:dyDescent="0.2">
      <c r="A673" t="s">
        <v>1306</v>
      </c>
      <c r="B673" t="s">
        <v>148</v>
      </c>
      <c r="C673" t="s">
        <v>1307</v>
      </c>
      <c r="D673" t="s">
        <v>882</v>
      </c>
      <c r="E673" t="s">
        <v>1308</v>
      </c>
      <c r="F673" s="2">
        <f t="shared" si="57"/>
        <v>3582</v>
      </c>
      <c r="G673" s="1">
        <f t="shared" si="53"/>
        <v>530000</v>
      </c>
      <c r="H673" s="2">
        <f t="shared" si="54"/>
        <v>125</v>
      </c>
      <c r="I673" s="2">
        <f t="shared" si="55"/>
        <v>8</v>
      </c>
      <c r="J673">
        <f t="shared" si="56"/>
        <v>178</v>
      </c>
    </row>
    <row r="674" spans="1:10" x14ac:dyDescent="0.2">
      <c r="A674" t="s">
        <v>1797</v>
      </c>
      <c r="B674" t="s">
        <v>833</v>
      </c>
      <c r="C674" t="s">
        <v>1798</v>
      </c>
      <c r="D674" t="s">
        <v>42</v>
      </c>
      <c r="E674" t="s">
        <v>1799</v>
      </c>
      <c r="F674" s="2">
        <f t="shared" si="57"/>
        <v>3515</v>
      </c>
      <c r="G674" s="1">
        <f t="shared" si="53"/>
        <v>550000</v>
      </c>
      <c r="H674" s="2">
        <f t="shared" si="54"/>
        <v>125</v>
      </c>
      <c r="I674" s="2">
        <f t="shared" si="55"/>
        <v>8</v>
      </c>
      <c r="J674">
        <f t="shared" si="56"/>
        <v>45</v>
      </c>
    </row>
    <row r="675" spans="1:10" x14ac:dyDescent="0.2">
      <c r="A675" t="s">
        <v>1803</v>
      </c>
      <c r="B675" t="s">
        <v>833</v>
      </c>
      <c r="C675" t="s">
        <v>1804</v>
      </c>
      <c r="D675" t="s">
        <v>108</v>
      </c>
      <c r="E675" t="s">
        <v>1805</v>
      </c>
      <c r="F675" s="2">
        <f t="shared" si="57"/>
        <v>3554</v>
      </c>
      <c r="G675" s="1">
        <f t="shared" si="53"/>
        <v>350000</v>
      </c>
      <c r="H675" s="2">
        <f t="shared" si="54"/>
        <v>125</v>
      </c>
      <c r="I675" s="2">
        <f t="shared" si="55"/>
        <v>8</v>
      </c>
      <c r="J675">
        <f t="shared" si="56"/>
        <v>148</v>
      </c>
    </row>
    <row r="676" spans="1:10" x14ac:dyDescent="0.2">
      <c r="A676" t="s">
        <v>2150</v>
      </c>
      <c r="B676" t="s">
        <v>84</v>
      </c>
      <c r="C676" t="s">
        <v>2151</v>
      </c>
      <c r="D676" t="s">
        <v>1358</v>
      </c>
      <c r="E676" t="s">
        <v>2152</v>
      </c>
      <c r="F676" s="2">
        <f t="shared" si="57"/>
        <v>3543</v>
      </c>
      <c r="G676" s="1">
        <f t="shared" si="53"/>
        <v>359000</v>
      </c>
      <c r="H676" s="2">
        <f t="shared" si="54"/>
        <v>125</v>
      </c>
      <c r="I676" s="2">
        <f t="shared" si="55"/>
        <v>8</v>
      </c>
      <c r="J676">
        <f t="shared" si="56"/>
        <v>157</v>
      </c>
    </row>
    <row r="677" spans="1:10" x14ac:dyDescent="0.2">
      <c r="A677" t="s">
        <v>2849</v>
      </c>
      <c r="B677" t="s">
        <v>306</v>
      </c>
      <c r="C677" t="s">
        <v>2850</v>
      </c>
      <c r="D677" t="s">
        <v>565</v>
      </c>
      <c r="E677" t="s">
        <v>286</v>
      </c>
      <c r="F677" s="2">
        <f t="shared" si="57"/>
        <v>3541</v>
      </c>
      <c r="G677" s="1">
        <f t="shared" si="53"/>
        <v>489000</v>
      </c>
      <c r="H677" s="2">
        <f t="shared" si="54"/>
        <v>125</v>
      </c>
      <c r="I677" s="2">
        <f t="shared" si="55"/>
        <v>0</v>
      </c>
      <c r="J677">
        <f t="shared" si="56"/>
        <v>0</v>
      </c>
    </row>
    <row r="678" spans="1:10" x14ac:dyDescent="0.2">
      <c r="A678" t="s">
        <v>20</v>
      </c>
      <c r="B678" t="s">
        <v>21</v>
      </c>
      <c r="C678" t="s">
        <v>22</v>
      </c>
      <c r="D678" t="s">
        <v>23</v>
      </c>
      <c r="E678" t="s">
        <v>24</v>
      </c>
      <c r="F678" s="2">
        <f t="shared" si="57"/>
        <v>3512</v>
      </c>
      <c r="G678" s="1">
        <f t="shared" si="53"/>
        <v>875000</v>
      </c>
      <c r="H678" s="2">
        <f t="shared" si="54"/>
        <v>126</v>
      </c>
      <c r="I678" s="2">
        <f t="shared" si="55"/>
        <v>8</v>
      </c>
      <c r="J678">
        <f t="shared" si="56"/>
        <v>160</v>
      </c>
    </row>
    <row r="679" spans="1:10" x14ac:dyDescent="0.2">
      <c r="A679" t="s">
        <v>578</v>
      </c>
      <c r="B679" t="s">
        <v>120</v>
      </c>
      <c r="C679" t="s">
        <v>579</v>
      </c>
      <c r="D679" t="s">
        <v>580</v>
      </c>
      <c r="E679" t="s">
        <v>581</v>
      </c>
      <c r="F679" s="2">
        <f t="shared" si="57"/>
        <v>3514</v>
      </c>
      <c r="G679" s="1">
        <f t="shared" si="53"/>
        <v>569000</v>
      </c>
      <c r="H679" s="2">
        <f t="shared" si="54"/>
        <v>126</v>
      </c>
      <c r="I679" s="2">
        <f t="shared" si="55"/>
        <v>8</v>
      </c>
      <c r="J679">
        <f t="shared" si="56"/>
        <v>97</v>
      </c>
    </row>
    <row r="680" spans="1:10" x14ac:dyDescent="0.2">
      <c r="A680" t="s">
        <v>697</v>
      </c>
      <c r="B680" t="s">
        <v>417</v>
      </c>
      <c r="C680" t="s">
        <v>698</v>
      </c>
      <c r="D680" t="s">
        <v>699</v>
      </c>
      <c r="E680" t="s">
        <v>700</v>
      </c>
      <c r="F680" s="2">
        <f t="shared" si="57"/>
        <v>3571</v>
      </c>
      <c r="G680" s="1">
        <f t="shared" si="53"/>
        <v>569500</v>
      </c>
      <c r="H680" s="2">
        <f t="shared" si="54"/>
        <v>126</v>
      </c>
      <c r="I680" s="2">
        <f t="shared" si="55"/>
        <v>8</v>
      </c>
      <c r="J680">
        <f t="shared" si="56"/>
        <v>138</v>
      </c>
    </row>
    <row r="681" spans="1:10" x14ac:dyDescent="0.2">
      <c r="A681" t="s">
        <v>798</v>
      </c>
      <c r="B681" t="s">
        <v>50</v>
      </c>
      <c r="C681" t="s">
        <v>799</v>
      </c>
      <c r="D681" t="s">
        <v>800</v>
      </c>
      <c r="E681" t="s">
        <v>801</v>
      </c>
      <c r="F681" s="2">
        <f t="shared" si="57"/>
        <v>3584</v>
      </c>
      <c r="G681" s="1">
        <f t="shared" si="53"/>
        <v>455000</v>
      </c>
      <c r="H681" s="2">
        <f t="shared" si="54"/>
        <v>126</v>
      </c>
      <c r="I681" s="2">
        <f t="shared" si="55"/>
        <v>0</v>
      </c>
      <c r="J681">
        <f t="shared" si="56"/>
        <v>0</v>
      </c>
    </row>
    <row r="682" spans="1:10" x14ac:dyDescent="0.2">
      <c r="A682" t="s">
        <v>828</v>
      </c>
      <c r="B682" t="s">
        <v>355</v>
      </c>
      <c r="C682" t="s">
        <v>829</v>
      </c>
      <c r="D682" t="s">
        <v>830</v>
      </c>
      <c r="E682" t="s">
        <v>831</v>
      </c>
      <c r="F682" s="2">
        <f t="shared" si="57"/>
        <v>3514</v>
      </c>
      <c r="G682" s="1">
        <f t="shared" si="53"/>
        <v>465000</v>
      </c>
      <c r="H682" s="2">
        <f t="shared" si="54"/>
        <v>126</v>
      </c>
      <c r="I682" s="2">
        <f t="shared" si="55"/>
        <v>0</v>
      </c>
      <c r="J682">
        <f t="shared" si="56"/>
        <v>0</v>
      </c>
    </row>
    <row r="683" spans="1:10" x14ac:dyDescent="0.2">
      <c r="A683" t="s">
        <v>1283</v>
      </c>
      <c r="B683" t="s">
        <v>187</v>
      </c>
      <c r="C683" t="s">
        <v>1284</v>
      </c>
      <c r="D683" t="s">
        <v>13</v>
      </c>
      <c r="E683" t="s">
        <v>1285</v>
      </c>
      <c r="F683" s="2">
        <f t="shared" si="57"/>
        <v>3573</v>
      </c>
      <c r="G683" s="1">
        <f t="shared" si="53"/>
        <v>450000</v>
      </c>
      <c r="H683" s="2">
        <f t="shared" si="54"/>
        <v>126</v>
      </c>
      <c r="I683" s="2">
        <f t="shared" si="55"/>
        <v>8</v>
      </c>
      <c r="J683">
        <f t="shared" si="56"/>
        <v>140</v>
      </c>
    </row>
    <row r="684" spans="1:10" x14ac:dyDescent="0.2">
      <c r="A684" t="s">
        <v>1338</v>
      </c>
      <c r="B684" t="s">
        <v>143</v>
      </c>
      <c r="C684" t="s">
        <v>1339</v>
      </c>
      <c r="D684" t="s">
        <v>1340</v>
      </c>
      <c r="E684" t="s">
        <v>1341</v>
      </c>
      <c r="F684" s="2">
        <f t="shared" si="57"/>
        <v>3582</v>
      </c>
      <c r="G684" s="1">
        <f t="shared" si="53"/>
        <v>498000</v>
      </c>
      <c r="H684" s="2">
        <f t="shared" si="54"/>
        <v>126</v>
      </c>
      <c r="I684" s="2">
        <f t="shared" si="55"/>
        <v>8</v>
      </c>
      <c r="J684">
        <f t="shared" si="56"/>
        <v>105</v>
      </c>
    </row>
    <row r="685" spans="1:10" x14ac:dyDescent="0.2">
      <c r="A685" t="s">
        <v>1402</v>
      </c>
      <c r="B685" t="s">
        <v>485</v>
      </c>
      <c r="C685" t="s">
        <v>1403</v>
      </c>
      <c r="D685" t="s">
        <v>855</v>
      </c>
      <c r="E685" t="s">
        <v>1404</v>
      </c>
      <c r="F685" s="2">
        <f t="shared" si="57"/>
        <v>3525</v>
      </c>
      <c r="G685" s="1">
        <f t="shared" si="53"/>
        <v>495000</v>
      </c>
      <c r="H685" s="2">
        <f t="shared" si="54"/>
        <v>126</v>
      </c>
      <c r="I685" s="2">
        <f t="shared" si="55"/>
        <v>8</v>
      </c>
      <c r="J685">
        <f t="shared" si="56"/>
        <v>120</v>
      </c>
    </row>
    <row r="686" spans="1:10" x14ac:dyDescent="0.2">
      <c r="A686" t="s">
        <v>2580</v>
      </c>
      <c r="B686" t="s">
        <v>417</v>
      </c>
      <c r="C686" t="s">
        <v>2581</v>
      </c>
      <c r="D686" t="s">
        <v>159</v>
      </c>
      <c r="E686" t="s">
        <v>2582</v>
      </c>
      <c r="F686" s="2">
        <f t="shared" si="57"/>
        <v>3514</v>
      </c>
      <c r="G686" s="1">
        <f t="shared" si="53"/>
        <v>425000</v>
      </c>
      <c r="H686" s="2">
        <f t="shared" si="54"/>
        <v>126</v>
      </c>
      <c r="I686" s="2">
        <f t="shared" si="55"/>
        <v>8</v>
      </c>
      <c r="J686">
        <f t="shared" si="56"/>
        <v>99</v>
      </c>
    </row>
    <row r="687" spans="1:10" x14ac:dyDescent="0.2">
      <c r="A687" t="s">
        <v>2620</v>
      </c>
      <c r="B687" t="s">
        <v>209</v>
      </c>
      <c r="C687" t="s">
        <v>2621</v>
      </c>
      <c r="D687" t="s">
        <v>37</v>
      </c>
      <c r="E687" t="s">
        <v>2622</v>
      </c>
      <c r="F687" s="2">
        <f t="shared" si="57"/>
        <v>3543</v>
      </c>
      <c r="G687" s="1">
        <f t="shared" si="53"/>
        <v>375000</v>
      </c>
      <c r="H687" s="2">
        <f t="shared" si="54"/>
        <v>126</v>
      </c>
      <c r="I687" s="2">
        <f t="shared" si="55"/>
        <v>8</v>
      </c>
      <c r="J687">
        <f t="shared" si="56"/>
        <v>111</v>
      </c>
    </row>
    <row r="688" spans="1:10" x14ac:dyDescent="0.2">
      <c r="A688" t="s">
        <v>728</v>
      </c>
      <c r="B688" t="s">
        <v>60</v>
      </c>
      <c r="C688" t="s">
        <v>729</v>
      </c>
      <c r="D688" t="s">
        <v>108</v>
      </c>
      <c r="E688" t="s">
        <v>730</v>
      </c>
      <c r="F688" s="2">
        <f t="shared" si="57"/>
        <v>3544</v>
      </c>
      <c r="G688" s="1">
        <f t="shared" si="53"/>
        <v>350000</v>
      </c>
      <c r="H688" s="2">
        <f t="shared" si="54"/>
        <v>127</v>
      </c>
      <c r="I688" s="2">
        <f t="shared" si="55"/>
        <v>8</v>
      </c>
      <c r="J688">
        <f t="shared" si="56"/>
        <v>127</v>
      </c>
    </row>
    <row r="689" spans="1:10" x14ac:dyDescent="0.2">
      <c r="A689" t="s">
        <v>995</v>
      </c>
      <c r="B689" t="s">
        <v>26</v>
      </c>
      <c r="C689" t="s">
        <v>996</v>
      </c>
      <c r="D689" t="s">
        <v>601</v>
      </c>
      <c r="E689" t="s">
        <v>997</v>
      </c>
      <c r="F689" s="2">
        <f t="shared" si="57"/>
        <v>3543</v>
      </c>
      <c r="G689" s="1">
        <f t="shared" si="53"/>
        <v>475000</v>
      </c>
      <c r="H689" s="2">
        <f t="shared" si="54"/>
        <v>127</v>
      </c>
      <c r="I689" s="2">
        <f t="shared" si="55"/>
        <v>8</v>
      </c>
      <c r="J689">
        <f t="shared" si="56"/>
        <v>212</v>
      </c>
    </row>
    <row r="690" spans="1:10" x14ac:dyDescent="0.2">
      <c r="A690" t="s">
        <v>1331</v>
      </c>
      <c r="B690" t="s">
        <v>187</v>
      </c>
      <c r="C690" t="s">
        <v>1332</v>
      </c>
      <c r="D690" t="s">
        <v>1333</v>
      </c>
      <c r="E690" t="s">
        <v>1334</v>
      </c>
      <c r="F690" s="2">
        <f t="shared" si="57"/>
        <v>3582</v>
      </c>
      <c r="G690" s="1">
        <f t="shared" si="53"/>
        <v>580000</v>
      </c>
      <c r="H690" s="2">
        <f t="shared" si="54"/>
        <v>127</v>
      </c>
      <c r="I690" s="2">
        <f t="shared" si="55"/>
        <v>8</v>
      </c>
      <c r="J690">
        <f t="shared" si="56"/>
        <v>127</v>
      </c>
    </row>
    <row r="691" spans="1:10" x14ac:dyDescent="0.2">
      <c r="A691" t="s">
        <v>1426</v>
      </c>
      <c r="B691" t="s">
        <v>736</v>
      </c>
      <c r="C691" t="s">
        <v>1427</v>
      </c>
      <c r="D691" t="s">
        <v>1428</v>
      </c>
      <c r="E691" t="s">
        <v>1429</v>
      </c>
      <c r="F691" s="2">
        <f t="shared" si="57"/>
        <v>3532</v>
      </c>
      <c r="G691" s="1">
        <f t="shared" si="53"/>
        <v>489500</v>
      </c>
      <c r="H691" s="2">
        <f t="shared" si="54"/>
        <v>127</v>
      </c>
      <c r="I691" s="2">
        <f t="shared" si="55"/>
        <v>8</v>
      </c>
      <c r="J691">
        <f t="shared" si="56"/>
        <v>120</v>
      </c>
    </row>
    <row r="692" spans="1:10" x14ac:dyDescent="0.2">
      <c r="A692" t="s">
        <v>1707</v>
      </c>
      <c r="B692" t="s">
        <v>64</v>
      </c>
      <c r="C692" t="s">
        <v>1708</v>
      </c>
      <c r="D692" t="s">
        <v>1709</v>
      </c>
      <c r="E692" t="s">
        <v>1710</v>
      </c>
      <c r="F692" s="2">
        <f t="shared" si="57"/>
        <v>3584</v>
      </c>
      <c r="G692" s="1">
        <f t="shared" si="53"/>
        <v>519500</v>
      </c>
      <c r="H692" s="2">
        <f t="shared" si="54"/>
        <v>127</v>
      </c>
      <c r="I692" s="2">
        <f t="shared" si="55"/>
        <v>0</v>
      </c>
      <c r="J692">
        <f t="shared" si="56"/>
        <v>0</v>
      </c>
    </row>
    <row r="693" spans="1:10" x14ac:dyDescent="0.2">
      <c r="A693" t="s">
        <v>1972</v>
      </c>
      <c r="B693" t="s">
        <v>60</v>
      </c>
      <c r="C693" t="s">
        <v>1973</v>
      </c>
      <c r="D693" t="s">
        <v>32</v>
      </c>
      <c r="E693" t="s">
        <v>1974</v>
      </c>
      <c r="F693" s="2">
        <f t="shared" si="57"/>
        <v>3571</v>
      </c>
      <c r="G693" s="1">
        <f t="shared" si="53"/>
        <v>675000</v>
      </c>
      <c r="H693" s="2">
        <f t="shared" si="54"/>
        <v>127</v>
      </c>
      <c r="I693" s="2">
        <f t="shared" si="55"/>
        <v>8</v>
      </c>
      <c r="J693">
        <f t="shared" si="56"/>
        <v>153</v>
      </c>
    </row>
    <row r="694" spans="1:10" x14ac:dyDescent="0.2">
      <c r="A694" t="s">
        <v>2049</v>
      </c>
      <c r="B694" t="s">
        <v>229</v>
      </c>
      <c r="C694" t="s">
        <v>2050</v>
      </c>
      <c r="D694" t="s">
        <v>1819</v>
      </c>
      <c r="E694" t="s">
        <v>2051</v>
      </c>
      <c r="F694" s="2">
        <f t="shared" si="57"/>
        <v>3512</v>
      </c>
      <c r="G694" s="1">
        <f t="shared" si="53"/>
        <v>579000</v>
      </c>
      <c r="H694" s="2">
        <f t="shared" si="54"/>
        <v>127</v>
      </c>
      <c r="I694" s="2">
        <f t="shared" si="55"/>
        <v>8</v>
      </c>
      <c r="J694">
        <f t="shared" si="56"/>
        <v>49</v>
      </c>
    </row>
    <row r="695" spans="1:10" x14ac:dyDescent="0.2">
      <c r="A695" t="s">
        <v>2301</v>
      </c>
      <c r="B695" t="s">
        <v>55</v>
      </c>
      <c r="C695" t="s">
        <v>2302</v>
      </c>
      <c r="D695" t="s">
        <v>379</v>
      </c>
      <c r="E695" t="s">
        <v>2303</v>
      </c>
      <c r="F695" s="2">
        <f t="shared" si="57"/>
        <v>3564</v>
      </c>
      <c r="G695" s="1">
        <f t="shared" si="53"/>
        <v>275000</v>
      </c>
      <c r="H695" s="2">
        <f t="shared" si="54"/>
        <v>127</v>
      </c>
      <c r="I695" s="2">
        <f t="shared" si="55"/>
        <v>8</v>
      </c>
      <c r="J695">
        <f t="shared" si="56"/>
        <v>145</v>
      </c>
    </row>
    <row r="696" spans="1:10" x14ac:dyDescent="0.2">
      <c r="A696" t="s">
        <v>735</v>
      </c>
      <c r="B696" t="s">
        <v>736</v>
      </c>
      <c r="C696" t="s">
        <v>737</v>
      </c>
      <c r="D696" t="s">
        <v>379</v>
      </c>
      <c r="E696" t="s">
        <v>738</v>
      </c>
      <c r="F696" s="2">
        <f t="shared" si="57"/>
        <v>3564</v>
      </c>
      <c r="G696" s="1">
        <f t="shared" si="53"/>
        <v>275000</v>
      </c>
      <c r="H696" s="2">
        <f t="shared" si="54"/>
        <v>128</v>
      </c>
      <c r="I696" s="2">
        <f t="shared" si="55"/>
        <v>8</v>
      </c>
      <c r="J696">
        <f t="shared" si="56"/>
        <v>182</v>
      </c>
    </row>
    <row r="697" spans="1:10" x14ac:dyDescent="0.2">
      <c r="A697" t="s">
        <v>1769</v>
      </c>
      <c r="B697" t="s">
        <v>115</v>
      </c>
      <c r="C697" t="s">
        <v>1770</v>
      </c>
      <c r="D697" t="s">
        <v>66</v>
      </c>
      <c r="E697" t="s">
        <v>1771</v>
      </c>
      <c r="F697" s="2">
        <f t="shared" si="57"/>
        <v>3544</v>
      </c>
      <c r="G697" s="1">
        <f t="shared" si="53"/>
        <v>349000</v>
      </c>
      <c r="H697" s="2">
        <f t="shared" si="54"/>
        <v>128</v>
      </c>
      <c r="I697" s="2">
        <f t="shared" si="55"/>
        <v>8</v>
      </c>
      <c r="J697">
        <f t="shared" si="56"/>
        <v>157</v>
      </c>
    </row>
    <row r="698" spans="1:10" x14ac:dyDescent="0.2">
      <c r="A698" t="s">
        <v>2722</v>
      </c>
      <c r="B698" t="s">
        <v>736</v>
      </c>
      <c r="C698" t="s">
        <v>2723</v>
      </c>
      <c r="D698" t="s">
        <v>546</v>
      </c>
      <c r="E698" t="s">
        <v>2724</v>
      </c>
      <c r="F698" s="2">
        <f t="shared" si="57"/>
        <v>3555</v>
      </c>
      <c r="G698" s="1">
        <f t="shared" si="53"/>
        <v>339000</v>
      </c>
      <c r="H698" s="2">
        <f t="shared" si="54"/>
        <v>128</v>
      </c>
      <c r="I698" s="2">
        <f t="shared" si="55"/>
        <v>8</v>
      </c>
      <c r="J698">
        <f t="shared" si="56"/>
        <v>107</v>
      </c>
    </row>
    <row r="699" spans="1:10" x14ac:dyDescent="0.2">
      <c r="A699" t="s">
        <v>224</v>
      </c>
      <c r="B699" t="s">
        <v>102</v>
      </c>
      <c r="C699" t="s">
        <v>225</v>
      </c>
      <c r="D699" t="s">
        <v>226</v>
      </c>
      <c r="E699" t="s">
        <v>227</v>
      </c>
      <c r="F699" s="2">
        <f t="shared" ref="F699:F730" si="58">VALUE(LEFT(RIGHT(C699,15),4))</f>
        <v>3581</v>
      </c>
      <c r="G699" s="1">
        <f t="shared" si="53"/>
        <v>575000</v>
      </c>
      <c r="H699" s="2">
        <f t="shared" si="54"/>
        <v>129</v>
      </c>
      <c r="I699" s="2">
        <f t="shared" si="55"/>
        <v>8</v>
      </c>
      <c r="J699">
        <f t="shared" si="56"/>
        <v>90</v>
      </c>
    </row>
    <row r="700" spans="1:10" x14ac:dyDescent="0.2">
      <c r="A700" t="s">
        <v>386</v>
      </c>
      <c r="B700" t="s">
        <v>350</v>
      </c>
      <c r="C700" t="s">
        <v>387</v>
      </c>
      <c r="D700" t="s">
        <v>226</v>
      </c>
      <c r="E700" t="s">
        <v>388</v>
      </c>
      <c r="F700" s="2">
        <f t="shared" si="58"/>
        <v>3571</v>
      </c>
      <c r="G700" s="1">
        <f t="shared" si="53"/>
        <v>575000</v>
      </c>
      <c r="H700" s="2">
        <f t="shared" si="54"/>
        <v>129</v>
      </c>
      <c r="I700" s="2">
        <f t="shared" si="55"/>
        <v>8</v>
      </c>
      <c r="J700">
        <f t="shared" si="56"/>
        <v>192</v>
      </c>
    </row>
    <row r="701" spans="1:10" x14ac:dyDescent="0.2">
      <c r="A701" t="s">
        <v>593</v>
      </c>
      <c r="B701" t="s">
        <v>84</v>
      </c>
      <c r="C701" t="s">
        <v>594</v>
      </c>
      <c r="D701" t="s">
        <v>226</v>
      </c>
      <c r="E701" t="s">
        <v>595</v>
      </c>
      <c r="F701" s="2">
        <f t="shared" si="58"/>
        <v>3571</v>
      </c>
      <c r="G701" s="1">
        <f t="shared" si="53"/>
        <v>575000</v>
      </c>
      <c r="H701" s="2">
        <f t="shared" si="54"/>
        <v>129</v>
      </c>
      <c r="I701" s="2">
        <f t="shared" si="55"/>
        <v>8</v>
      </c>
      <c r="J701">
        <f t="shared" si="56"/>
        <v>149</v>
      </c>
    </row>
    <row r="702" spans="1:10" x14ac:dyDescent="0.2">
      <c r="A702" t="s">
        <v>610</v>
      </c>
      <c r="B702" t="s">
        <v>264</v>
      </c>
      <c r="C702" t="s">
        <v>611</v>
      </c>
      <c r="D702" t="s">
        <v>401</v>
      </c>
      <c r="E702" t="s">
        <v>612</v>
      </c>
      <c r="F702" s="2">
        <f t="shared" si="58"/>
        <v>3527</v>
      </c>
      <c r="G702" s="1">
        <f t="shared" si="53"/>
        <v>319000</v>
      </c>
      <c r="H702" s="2">
        <f t="shared" si="54"/>
        <v>129</v>
      </c>
      <c r="I702" s="2">
        <f t="shared" si="55"/>
        <v>8</v>
      </c>
      <c r="J702">
        <f t="shared" si="56"/>
        <v>139</v>
      </c>
    </row>
    <row r="703" spans="1:10" x14ac:dyDescent="0.2">
      <c r="A703" t="s">
        <v>2462</v>
      </c>
      <c r="B703" t="s">
        <v>6</v>
      </c>
      <c r="C703" t="s">
        <v>2463</v>
      </c>
      <c r="D703" t="s">
        <v>42</v>
      </c>
      <c r="E703" t="s">
        <v>2464</v>
      </c>
      <c r="F703" s="2">
        <f t="shared" si="58"/>
        <v>3544</v>
      </c>
      <c r="G703" s="1">
        <f t="shared" si="53"/>
        <v>550000</v>
      </c>
      <c r="H703" s="2">
        <f t="shared" si="54"/>
        <v>129</v>
      </c>
      <c r="I703" s="2">
        <f t="shared" si="55"/>
        <v>8</v>
      </c>
      <c r="J703">
        <f t="shared" si="56"/>
        <v>280</v>
      </c>
    </row>
    <row r="704" spans="1:10" x14ac:dyDescent="0.2">
      <c r="A704" t="s">
        <v>2617</v>
      </c>
      <c r="B704" t="s">
        <v>294</v>
      </c>
      <c r="C704" t="s">
        <v>2618</v>
      </c>
      <c r="D704" t="s">
        <v>303</v>
      </c>
      <c r="E704" t="s">
        <v>2619</v>
      </c>
      <c r="F704" s="2">
        <f t="shared" si="58"/>
        <v>3583</v>
      </c>
      <c r="G704" s="1">
        <f t="shared" si="53"/>
        <v>549000</v>
      </c>
      <c r="H704" s="2">
        <f t="shared" si="54"/>
        <v>129</v>
      </c>
      <c r="I704" s="2">
        <f t="shared" si="55"/>
        <v>0</v>
      </c>
      <c r="J704">
        <f t="shared" si="56"/>
        <v>0</v>
      </c>
    </row>
    <row r="705" spans="1:10" x14ac:dyDescent="0.2">
      <c r="A705" t="s">
        <v>748</v>
      </c>
      <c r="B705" t="s">
        <v>50</v>
      </c>
      <c r="C705" t="s">
        <v>749</v>
      </c>
      <c r="D705" t="s">
        <v>37</v>
      </c>
      <c r="E705" t="s">
        <v>750</v>
      </c>
      <c r="F705" s="2">
        <f t="shared" si="58"/>
        <v>3544</v>
      </c>
      <c r="G705" s="1">
        <f t="shared" si="53"/>
        <v>375000</v>
      </c>
      <c r="H705" s="2">
        <f t="shared" si="54"/>
        <v>130</v>
      </c>
      <c r="I705" s="2">
        <f t="shared" si="55"/>
        <v>8</v>
      </c>
      <c r="J705">
        <f t="shared" si="56"/>
        <v>200</v>
      </c>
    </row>
    <row r="706" spans="1:10" x14ac:dyDescent="0.2">
      <c r="A706" t="s">
        <v>1445</v>
      </c>
      <c r="B706" t="s">
        <v>536</v>
      </c>
      <c r="C706" t="s">
        <v>1446</v>
      </c>
      <c r="D706" t="s">
        <v>706</v>
      </c>
      <c r="E706" t="s">
        <v>1447</v>
      </c>
      <c r="F706" s="2">
        <f t="shared" si="58"/>
        <v>3532</v>
      </c>
      <c r="G706" s="1">
        <f t="shared" ref="G706:G769" si="59">VALUE(MID(D706,3,FIND(" ",D706,3)-3))</f>
        <v>435000</v>
      </c>
      <c r="H706" s="2">
        <f t="shared" ref="H706:H769" si="60">VALUE(LEFT(E706,FIND(" ",E706,1)-1))</f>
        <v>130</v>
      </c>
      <c r="I706" s="2">
        <f t="shared" ref="I706:I769" si="61">IFERROR(FIND("/",E706,1),0)</f>
        <v>8</v>
      </c>
      <c r="J706">
        <f t="shared" ref="J706:J769" si="62">IF(I706=0,0,VALUE(MID(E706,FIND("/",E706,1)+2,(FIND(" ",E706,FIND("/",E706,1)+2)-(FIND("/",E706,1))-1))))</f>
        <v>63</v>
      </c>
    </row>
    <row r="707" spans="1:10" x14ac:dyDescent="0.2">
      <c r="A707" t="s">
        <v>1650</v>
      </c>
      <c r="B707" t="s">
        <v>524</v>
      </c>
      <c r="C707" t="s">
        <v>1651</v>
      </c>
      <c r="D707" t="s">
        <v>1149</v>
      </c>
      <c r="E707" t="s">
        <v>1652</v>
      </c>
      <c r="F707" s="2">
        <f t="shared" si="58"/>
        <v>3544</v>
      </c>
      <c r="G707" s="1">
        <f t="shared" si="59"/>
        <v>565000</v>
      </c>
      <c r="H707" s="2">
        <f t="shared" si="60"/>
        <v>130</v>
      </c>
      <c r="I707" s="2">
        <f t="shared" si="61"/>
        <v>8</v>
      </c>
      <c r="J707">
        <f t="shared" si="62"/>
        <v>277</v>
      </c>
    </row>
    <row r="708" spans="1:10" x14ac:dyDescent="0.2">
      <c r="A708" t="s">
        <v>1738</v>
      </c>
      <c r="B708" t="s">
        <v>92</v>
      </c>
      <c r="C708" t="s">
        <v>1739</v>
      </c>
      <c r="D708" t="s">
        <v>13</v>
      </c>
      <c r="E708" t="s">
        <v>1740</v>
      </c>
      <c r="F708" s="2">
        <f t="shared" si="58"/>
        <v>3521</v>
      </c>
      <c r="G708" s="1">
        <f t="shared" si="59"/>
        <v>450000</v>
      </c>
      <c r="H708" s="2">
        <f t="shared" si="60"/>
        <v>130</v>
      </c>
      <c r="I708" s="2">
        <f t="shared" si="61"/>
        <v>8</v>
      </c>
      <c r="J708">
        <f t="shared" si="62"/>
        <v>99</v>
      </c>
    </row>
    <row r="709" spans="1:10" x14ac:dyDescent="0.2">
      <c r="A709" t="s">
        <v>1993</v>
      </c>
      <c r="B709" t="s">
        <v>40</v>
      </c>
      <c r="C709" t="s">
        <v>1994</v>
      </c>
      <c r="D709" t="s">
        <v>1016</v>
      </c>
      <c r="E709" t="s">
        <v>1995</v>
      </c>
      <c r="F709" s="2">
        <f t="shared" si="58"/>
        <v>3571</v>
      </c>
      <c r="G709" s="1">
        <f t="shared" si="59"/>
        <v>900000</v>
      </c>
      <c r="H709" s="2">
        <f t="shared" si="60"/>
        <v>130</v>
      </c>
      <c r="I709" s="2">
        <f t="shared" si="61"/>
        <v>8</v>
      </c>
      <c r="J709">
        <f t="shared" si="62"/>
        <v>306</v>
      </c>
    </row>
    <row r="710" spans="1:10" x14ac:dyDescent="0.2">
      <c r="A710" t="s">
        <v>2375</v>
      </c>
      <c r="B710" t="s">
        <v>306</v>
      </c>
      <c r="C710" t="s">
        <v>2376</v>
      </c>
      <c r="D710" t="s">
        <v>13</v>
      </c>
      <c r="E710" t="s">
        <v>2377</v>
      </c>
      <c r="F710" s="2">
        <f t="shared" si="58"/>
        <v>3543</v>
      </c>
      <c r="G710" s="1">
        <f t="shared" si="59"/>
        <v>450000</v>
      </c>
      <c r="H710" s="2">
        <f t="shared" si="60"/>
        <v>130</v>
      </c>
      <c r="I710" s="2">
        <f t="shared" si="61"/>
        <v>8</v>
      </c>
      <c r="J710">
        <f t="shared" si="62"/>
        <v>100</v>
      </c>
    </row>
    <row r="711" spans="1:10" x14ac:dyDescent="0.2">
      <c r="A711" t="s">
        <v>2893</v>
      </c>
      <c r="B711" t="s">
        <v>451</v>
      </c>
      <c r="C711" t="s">
        <v>2894</v>
      </c>
      <c r="D711" t="s">
        <v>1295</v>
      </c>
      <c r="E711" t="s">
        <v>2895</v>
      </c>
      <c r="F711" s="2">
        <f t="shared" si="58"/>
        <v>3581</v>
      </c>
      <c r="G711" s="1">
        <f t="shared" si="59"/>
        <v>625000</v>
      </c>
      <c r="H711" s="2">
        <f t="shared" si="60"/>
        <v>130</v>
      </c>
      <c r="I711" s="2">
        <f t="shared" si="61"/>
        <v>8</v>
      </c>
      <c r="J711">
        <f t="shared" si="62"/>
        <v>80</v>
      </c>
    </row>
    <row r="712" spans="1:10" x14ac:dyDescent="0.2">
      <c r="A712" t="s">
        <v>2910</v>
      </c>
      <c r="B712" t="s">
        <v>417</v>
      </c>
      <c r="C712" t="s">
        <v>2911</v>
      </c>
      <c r="D712" t="s">
        <v>13</v>
      </c>
      <c r="E712" t="s">
        <v>2912</v>
      </c>
      <c r="F712" s="2">
        <f t="shared" si="58"/>
        <v>3515</v>
      </c>
      <c r="G712" s="1">
        <f t="shared" si="59"/>
        <v>450000</v>
      </c>
      <c r="H712" s="2">
        <f t="shared" si="60"/>
        <v>130</v>
      </c>
      <c r="I712" s="2">
        <f t="shared" si="61"/>
        <v>0</v>
      </c>
      <c r="J712">
        <f t="shared" si="62"/>
        <v>0</v>
      </c>
    </row>
    <row r="713" spans="1:10" x14ac:dyDescent="0.2">
      <c r="A713" t="s">
        <v>2939</v>
      </c>
      <c r="B713" t="s">
        <v>162</v>
      </c>
      <c r="C713" t="s">
        <v>2940</v>
      </c>
      <c r="D713" t="s">
        <v>206</v>
      </c>
      <c r="E713" t="s">
        <v>2941</v>
      </c>
      <c r="F713" s="2">
        <f t="shared" si="58"/>
        <v>3554</v>
      </c>
      <c r="G713" s="1">
        <f t="shared" si="59"/>
        <v>260000</v>
      </c>
      <c r="H713" s="2">
        <f t="shared" si="60"/>
        <v>130</v>
      </c>
      <c r="I713" s="2">
        <f t="shared" si="61"/>
        <v>0</v>
      </c>
      <c r="J713">
        <f t="shared" si="62"/>
        <v>0</v>
      </c>
    </row>
    <row r="714" spans="1:10" x14ac:dyDescent="0.2">
      <c r="A714" t="s">
        <v>5</v>
      </c>
      <c r="B714" t="s">
        <v>6</v>
      </c>
      <c r="C714" t="s">
        <v>7</v>
      </c>
      <c r="D714" t="s">
        <v>8</v>
      </c>
      <c r="E714" t="s">
        <v>9</v>
      </c>
      <c r="F714" s="2">
        <f t="shared" si="58"/>
        <v>3544</v>
      </c>
      <c r="G714" s="1">
        <f t="shared" si="59"/>
        <v>399000</v>
      </c>
      <c r="H714" s="2">
        <f t="shared" si="60"/>
        <v>131</v>
      </c>
      <c r="I714" s="2">
        <f t="shared" si="61"/>
        <v>8</v>
      </c>
      <c r="J714">
        <f t="shared" si="62"/>
        <v>211</v>
      </c>
    </row>
    <row r="715" spans="1:10" x14ac:dyDescent="0.2">
      <c r="A715" t="s">
        <v>791</v>
      </c>
      <c r="B715" t="s">
        <v>792</v>
      </c>
      <c r="C715" t="s">
        <v>793</v>
      </c>
      <c r="D715" t="s">
        <v>580</v>
      </c>
      <c r="E715" t="s">
        <v>794</v>
      </c>
      <c r="F715" s="2">
        <f t="shared" si="58"/>
        <v>3582</v>
      </c>
      <c r="G715" s="1">
        <f t="shared" si="59"/>
        <v>569000</v>
      </c>
      <c r="H715" s="2">
        <f t="shared" si="60"/>
        <v>131</v>
      </c>
      <c r="I715" s="2">
        <f t="shared" si="61"/>
        <v>0</v>
      </c>
      <c r="J715">
        <f t="shared" si="62"/>
        <v>0</v>
      </c>
    </row>
    <row r="716" spans="1:10" x14ac:dyDescent="0.2">
      <c r="A716" t="s">
        <v>1297</v>
      </c>
      <c r="B716" t="s">
        <v>79</v>
      </c>
      <c r="C716" t="s">
        <v>1298</v>
      </c>
      <c r="D716" t="s">
        <v>76</v>
      </c>
      <c r="E716" t="s">
        <v>1299</v>
      </c>
      <c r="F716" s="2">
        <f t="shared" si="58"/>
        <v>3572</v>
      </c>
      <c r="G716" s="1">
        <f t="shared" si="59"/>
        <v>650000</v>
      </c>
      <c r="H716" s="2">
        <f t="shared" si="60"/>
        <v>131</v>
      </c>
      <c r="I716" s="2">
        <f t="shared" si="61"/>
        <v>8</v>
      </c>
      <c r="J716">
        <f t="shared" si="62"/>
        <v>109</v>
      </c>
    </row>
    <row r="717" spans="1:10" x14ac:dyDescent="0.2">
      <c r="A717" t="s">
        <v>2252</v>
      </c>
      <c r="B717" t="s">
        <v>84</v>
      </c>
      <c r="C717" t="s">
        <v>2253</v>
      </c>
      <c r="D717" t="s">
        <v>710</v>
      </c>
      <c r="E717" t="s">
        <v>2254</v>
      </c>
      <c r="F717" s="2">
        <f t="shared" si="58"/>
        <v>3573</v>
      </c>
      <c r="G717" s="1">
        <f t="shared" si="59"/>
        <v>595000</v>
      </c>
      <c r="H717" s="2">
        <f t="shared" si="60"/>
        <v>131</v>
      </c>
      <c r="I717" s="2">
        <f t="shared" si="61"/>
        <v>0</v>
      </c>
      <c r="J717">
        <f t="shared" si="62"/>
        <v>0</v>
      </c>
    </row>
    <row r="718" spans="1:10" x14ac:dyDescent="0.2">
      <c r="A718" t="s">
        <v>2828</v>
      </c>
      <c r="B718" t="s">
        <v>11</v>
      </c>
      <c r="C718" t="s">
        <v>2829</v>
      </c>
      <c r="D718" t="s">
        <v>226</v>
      </c>
      <c r="E718" t="s">
        <v>2830</v>
      </c>
      <c r="F718" s="2">
        <f t="shared" si="58"/>
        <v>3571</v>
      </c>
      <c r="G718" s="1">
        <f t="shared" si="59"/>
        <v>575000</v>
      </c>
      <c r="H718" s="2">
        <f t="shared" si="60"/>
        <v>131</v>
      </c>
      <c r="I718" s="2">
        <f t="shared" si="61"/>
        <v>8</v>
      </c>
      <c r="J718">
        <f t="shared" si="62"/>
        <v>156</v>
      </c>
    </row>
    <row r="719" spans="1:10" x14ac:dyDescent="0.2">
      <c r="A719" t="s">
        <v>83</v>
      </c>
      <c r="B719" t="s">
        <v>84</v>
      </c>
      <c r="C719" t="s">
        <v>85</v>
      </c>
      <c r="D719" t="s">
        <v>37</v>
      </c>
      <c r="E719" t="s">
        <v>86</v>
      </c>
      <c r="F719" s="2">
        <f t="shared" si="58"/>
        <v>3522</v>
      </c>
      <c r="G719" s="1">
        <f t="shared" si="59"/>
        <v>375000</v>
      </c>
      <c r="H719" s="2">
        <f t="shared" si="60"/>
        <v>132</v>
      </c>
      <c r="I719" s="2">
        <f t="shared" si="61"/>
        <v>0</v>
      </c>
      <c r="J719">
        <f t="shared" si="62"/>
        <v>0</v>
      </c>
    </row>
    <row r="720" spans="1:10" x14ac:dyDescent="0.2">
      <c r="A720" t="s">
        <v>1077</v>
      </c>
      <c r="B720" t="s">
        <v>40</v>
      </c>
      <c r="C720" t="s">
        <v>1078</v>
      </c>
      <c r="D720" t="s">
        <v>662</v>
      </c>
      <c r="E720" t="s">
        <v>1079</v>
      </c>
      <c r="F720" s="2">
        <f t="shared" si="58"/>
        <v>3571</v>
      </c>
      <c r="G720" s="1">
        <f t="shared" si="59"/>
        <v>600000</v>
      </c>
      <c r="H720" s="2">
        <f t="shared" si="60"/>
        <v>132</v>
      </c>
      <c r="I720" s="2">
        <f t="shared" si="61"/>
        <v>8</v>
      </c>
      <c r="J720">
        <f t="shared" si="62"/>
        <v>138</v>
      </c>
    </row>
    <row r="721" spans="1:10" x14ac:dyDescent="0.2">
      <c r="A721" t="s">
        <v>1111</v>
      </c>
      <c r="B721" t="s">
        <v>79</v>
      </c>
      <c r="C721" t="s">
        <v>1112</v>
      </c>
      <c r="D721" t="s">
        <v>1113</v>
      </c>
      <c r="E721" t="s">
        <v>1114</v>
      </c>
      <c r="F721" s="2">
        <f t="shared" si="58"/>
        <v>3541</v>
      </c>
      <c r="G721" s="1">
        <f t="shared" si="59"/>
        <v>500500</v>
      </c>
      <c r="H721" s="2">
        <f t="shared" si="60"/>
        <v>132</v>
      </c>
      <c r="I721" s="2">
        <f t="shared" si="61"/>
        <v>0</v>
      </c>
      <c r="J721">
        <f t="shared" si="62"/>
        <v>0</v>
      </c>
    </row>
    <row r="722" spans="1:10" x14ac:dyDescent="0.2">
      <c r="A722" t="s">
        <v>2107</v>
      </c>
      <c r="B722" t="s">
        <v>74</v>
      </c>
      <c r="C722" t="s">
        <v>2108</v>
      </c>
      <c r="D722" t="s">
        <v>1621</v>
      </c>
      <c r="E722" t="s">
        <v>1114</v>
      </c>
      <c r="F722" s="2">
        <f t="shared" si="58"/>
        <v>3583</v>
      </c>
      <c r="G722" s="1">
        <f t="shared" si="59"/>
        <v>649000</v>
      </c>
      <c r="H722" s="2">
        <f t="shared" si="60"/>
        <v>132</v>
      </c>
      <c r="I722" s="2">
        <f t="shared" si="61"/>
        <v>0</v>
      </c>
      <c r="J722">
        <f t="shared" si="62"/>
        <v>0</v>
      </c>
    </row>
    <row r="723" spans="1:10" x14ac:dyDescent="0.2">
      <c r="A723" t="s">
        <v>2130</v>
      </c>
      <c r="B723" t="s">
        <v>120</v>
      </c>
      <c r="C723" t="s">
        <v>2131</v>
      </c>
      <c r="D723" t="s">
        <v>1621</v>
      </c>
      <c r="E723" t="s">
        <v>2132</v>
      </c>
      <c r="F723" s="2">
        <f t="shared" si="58"/>
        <v>3514</v>
      </c>
      <c r="G723" s="1">
        <f t="shared" si="59"/>
        <v>649000</v>
      </c>
      <c r="H723" s="2">
        <f t="shared" si="60"/>
        <v>132</v>
      </c>
      <c r="I723" s="2">
        <f t="shared" si="61"/>
        <v>8</v>
      </c>
      <c r="J723">
        <f t="shared" si="62"/>
        <v>114</v>
      </c>
    </row>
    <row r="724" spans="1:10" x14ac:dyDescent="0.2">
      <c r="A724" t="s">
        <v>293</v>
      </c>
      <c r="B724" t="s">
        <v>294</v>
      </c>
      <c r="C724" t="s">
        <v>295</v>
      </c>
      <c r="D724" t="s">
        <v>296</v>
      </c>
      <c r="E724" t="s">
        <v>297</v>
      </c>
      <c r="F724" s="2">
        <f t="shared" si="58"/>
        <v>3582</v>
      </c>
      <c r="G724" s="1">
        <f t="shared" si="59"/>
        <v>855000</v>
      </c>
      <c r="H724" s="2">
        <f t="shared" si="60"/>
        <v>133</v>
      </c>
      <c r="I724" s="2">
        <f t="shared" si="61"/>
        <v>0</v>
      </c>
      <c r="J724">
        <f t="shared" si="62"/>
        <v>0</v>
      </c>
    </row>
    <row r="725" spans="1:10" x14ac:dyDescent="0.2">
      <c r="A725" t="s">
        <v>795</v>
      </c>
      <c r="B725" t="s">
        <v>157</v>
      </c>
      <c r="C725" t="s">
        <v>796</v>
      </c>
      <c r="D725" t="s">
        <v>127</v>
      </c>
      <c r="E725" t="s">
        <v>797</v>
      </c>
      <c r="F725" s="2">
        <f t="shared" si="58"/>
        <v>3523</v>
      </c>
      <c r="G725" s="1">
        <f t="shared" si="59"/>
        <v>485000</v>
      </c>
      <c r="H725" s="2">
        <f t="shared" si="60"/>
        <v>133</v>
      </c>
      <c r="I725" s="2">
        <f t="shared" si="61"/>
        <v>8</v>
      </c>
      <c r="J725">
        <f t="shared" si="62"/>
        <v>138</v>
      </c>
    </row>
    <row r="726" spans="1:10" x14ac:dyDescent="0.2">
      <c r="A726" t="s">
        <v>1094</v>
      </c>
      <c r="B726" t="s">
        <v>187</v>
      </c>
      <c r="C726" t="s">
        <v>1095</v>
      </c>
      <c r="D726" t="s">
        <v>76</v>
      </c>
      <c r="E726" t="s">
        <v>1096</v>
      </c>
      <c r="F726" s="2">
        <f t="shared" si="58"/>
        <v>3581</v>
      </c>
      <c r="G726" s="1">
        <f t="shared" si="59"/>
        <v>650000</v>
      </c>
      <c r="H726" s="2">
        <f t="shared" si="60"/>
        <v>133</v>
      </c>
      <c r="I726" s="2">
        <f t="shared" si="61"/>
        <v>0</v>
      </c>
      <c r="J726">
        <f t="shared" si="62"/>
        <v>0</v>
      </c>
    </row>
    <row r="727" spans="1:10" x14ac:dyDescent="0.2">
      <c r="A727" t="s">
        <v>1234</v>
      </c>
      <c r="B727" t="s">
        <v>209</v>
      </c>
      <c r="C727" t="s">
        <v>1235</v>
      </c>
      <c r="D727" t="s">
        <v>526</v>
      </c>
      <c r="E727" t="s">
        <v>1236</v>
      </c>
      <c r="F727" s="2">
        <f t="shared" si="58"/>
        <v>3522</v>
      </c>
      <c r="G727" s="1">
        <f t="shared" si="59"/>
        <v>500000</v>
      </c>
      <c r="H727" s="2">
        <f t="shared" si="60"/>
        <v>133</v>
      </c>
      <c r="I727" s="2">
        <f t="shared" si="61"/>
        <v>8</v>
      </c>
      <c r="J727">
        <f t="shared" si="62"/>
        <v>95</v>
      </c>
    </row>
    <row r="728" spans="1:10" x14ac:dyDescent="0.2">
      <c r="A728" t="s">
        <v>1855</v>
      </c>
      <c r="B728" t="s">
        <v>64</v>
      </c>
      <c r="C728" t="s">
        <v>1856</v>
      </c>
      <c r="D728" t="s">
        <v>226</v>
      </c>
      <c r="E728" t="s">
        <v>1857</v>
      </c>
      <c r="F728" s="2">
        <f t="shared" si="58"/>
        <v>3514</v>
      </c>
      <c r="G728" s="1">
        <f t="shared" si="59"/>
        <v>575000</v>
      </c>
      <c r="H728" s="2">
        <f t="shared" si="60"/>
        <v>133</v>
      </c>
      <c r="I728" s="2">
        <f t="shared" si="61"/>
        <v>8</v>
      </c>
      <c r="J728">
        <f t="shared" si="62"/>
        <v>100</v>
      </c>
    </row>
    <row r="729" spans="1:10" x14ac:dyDescent="0.2">
      <c r="A729" t="s">
        <v>2092</v>
      </c>
      <c r="B729" t="s">
        <v>200</v>
      </c>
      <c r="C729" t="s">
        <v>2093</v>
      </c>
      <c r="D729" t="s">
        <v>808</v>
      </c>
      <c r="E729" t="s">
        <v>2094</v>
      </c>
      <c r="F729" s="2">
        <f t="shared" si="58"/>
        <v>3572</v>
      </c>
      <c r="G729" s="1">
        <f t="shared" si="59"/>
        <v>599000</v>
      </c>
      <c r="H729" s="2">
        <f t="shared" si="60"/>
        <v>133</v>
      </c>
      <c r="I729" s="2">
        <f t="shared" si="61"/>
        <v>8</v>
      </c>
      <c r="J729">
        <f t="shared" si="62"/>
        <v>233</v>
      </c>
    </row>
    <row r="730" spans="1:10" x14ac:dyDescent="0.2">
      <c r="A730" t="s">
        <v>15</v>
      </c>
      <c r="B730" t="s">
        <v>16</v>
      </c>
      <c r="C730" t="s">
        <v>17</v>
      </c>
      <c r="D730" t="s">
        <v>18</v>
      </c>
      <c r="E730" t="s">
        <v>19</v>
      </c>
      <c r="F730" s="2">
        <f t="shared" si="58"/>
        <v>3514</v>
      </c>
      <c r="G730" s="1">
        <f t="shared" si="59"/>
        <v>525000</v>
      </c>
      <c r="H730" s="2">
        <f t="shared" si="60"/>
        <v>134</v>
      </c>
      <c r="I730" s="2">
        <f t="shared" si="61"/>
        <v>8</v>
      </c>
      <c r="J730">
        <f t="shared" si="62"/>
        <v>99</v>
      </c>
    </row>
    <row r="731" spans="1:10" x14ac:dyDescent="0.2">
      <c r="A731" t="s">
        <v>820</v>
      </c>
      <c r="B731" t="s">
        <v>245</v>
      </c>
      <c r="C731" t="s">
        <v>821</v>
      </c>
      <c r="D731" t="s">
        <v>822</v>
      </c>
      <c r="E731" t="s">
        <v>823</v>
      </c>
      <c r="F731" s="2">
        <v>3541</v>
      </c>
      <c r="G731" s="1">
        <f t="shared" si="59"/>
        <v>599000</v>
      </c>
      <c r="H731" s="2">
        <f t="shared" si="60"/>
        <v>134</v>
      </c>
      <c r="I731" s="2">
        <f t="shared" si="61"/>
        <v>0</v>
      </c>
      <c r="J731">
        <f t="shared" si="62"/>
        <v>0</v>
      </c>
    </row>
    <row r="732" spans="1:10" x14ac:dyDescent="0.2">
      <c r="A732" t="s">
        <v>2046</v>
      </c>
      <c r="B732" t="s">
        <v>245</v>
      </c>
      <c r="C732" t="s">
        <v>2047</v>
      </c>
      <c r="D732" t="s">
        <v>706</v>
      </c>
      <c r="E732" t="s">
        <v>2048</v>
      </c>
      <c r="F732" s="2">
        <f t="shared" ref="F732:F761" si="63">VALUE(LEFT(RIGHT(C732,15),4))</f>
        <v>3571</v>
      </c>
      <c r="G732" s="1">
        <f t="shared" si="59"/>
        <v>435000</v>
      </c>
      <c r="H732" s="2">
        <f t="shared" si="60"/>
        <v>134</v>
      </c>
      <c r="I732" s="2">
        <f t="shared" si="61"/>
        <v>8</v>
      </c>
      <c r="J732">
        <f t="shared" si="62"/>
        <v>148</v>
      </c>
    </row>
    <row r="733" spans="1:10" x14ac:dyDescent="0.2">
      <c r="A733" t="s">
        <v>708</v>
      </c>
      <c r="B733" t="s">
        <v>536</v>
      </c>
      <c r="C733" t="s">
        <v>709</v>
      </c>
      <c r="D733" t="s">
        <v>710</v>
      </c>
      <c r="E733" t="s">
        <v>711</v>
      </c>
      <c r="F733" s="2">
        <f t="shared" si="63"/>
        <v>3533</v>
      </c>
      <c r="G733" s="1">
        <f t="shared" si="59"/>
        <v>595000</v>
      </c>
      <c r="H733" s="2">
        <f t="shared" si="60"/>
        <v>135</v>
      </c>
      <c r="I733" s="2">
        <f t="shared" si="61"/>
        <v>8</v>
      </c>
      <c r="J733">
        <f t="shared" si="62"/>
        <v>160</v>
      </c>
    </row>
    <row r="734" spans="1:10" x14ac:dyDescent="0.2">
      <c r="A734" t="s">
        <v>942</v>
      </c>
      <c r="B734" t="s">
        <v>552</v>
      </c>
      <c r="C734" t="s">
        <v>943</v>
      </c>
      <c r="D734" t="s">
        <v>944</v>
      </c>
      <c r="E734" t="s">
        <v>945</v>
      </c>
      <c r="F734" s="2">
        <f t="shared" si="63"/>
        <v>3555</v>
      </c>
      <c r="G734" s="1">
        <f t="shared" si="59"/>
        <v>698000</v>
      </c>
      <c r="H734" s="2">
        <f t="shared" si="60"/>
        <v>135</v>
      </c>
      <c r="I734" s="2">
        <f t="shared" si="61"/>
        <v>8</v>
      </c>
      <c r="J734">
        <f t="shared" si="62"/>
        <v>344</v>
      </c>
    </row>
    <row r="735" spans="1:10" x14ac:dyDescent="0.2">
      <c r="A735" t="s">
        <v>1290</v>
      </c>
      <c r="B735" t="s">
        <v>229</v>
      </c>
      <c r="C735" t="s">
        <v>1291</v>
      </c>
      <c r="D735" t="s">
        <v>601</v>
      </c>
      <c r="E735" t="s">
        <v>1292</v>
      </c>
      <c r="F735" s="2">
        <f t="shared" si="63"/>
        <v>3553</v>
      </c>
      <c r="G735" s="1">
        <f t="shared" si="59"/>
        <v>475000</v>
      </c>
      <c r="H735" s="2">
        <f t="shared" si="60"/>
        <v>135</v>
      </c>
      <c r="I735" s="2">
        <f t="shared" si="61"/>
        <v>8</v>
      </c>
      <c r="J735">
        <f t="shared" si="62"/>
        <v>242</v>
      </c>
    </row>
    <row r="736" spans="1:10" x14ac:dyDescent="0.2">
      <c r="A736" t="s">
        <v>1601</v>
      </c>
      <c r="B736" t="s">
        <v>162</v>
      </c>
      <c r="C736" t="s">
        <v>1602</v>
      </c>
      <c r="D736" t="s">
        <v>13</v>
      </c>
      <c r="E736" t="s">
        <v>1603</v>
      </c>
      <c r="F736" s="2">
        <f t="shared" si="63"/>
        <v>3543</v>
      </c>
      <c r="G736" s="1">
        <f t="shared" si="59"/>
        <v>450000</v>
      </c>
      <c r="H736" s="2">
        <f t="shared" si="60"/>
        <v>135</v>
      </c>
      <c r="I736" s="2">
        <f t="shared" si="61"/>
        <v>0</v>
      </c>
      <c r="J736">
        <f t="shared" si="62"/>
        <v>0</v>
      </c>
    </row>
    <row r="737" spans="1:10" x14ac:dyDescent="0.2">
      <c r="A737" t="s">
        <v>2843</v>
      </c>
      <c r="B737" t="s">
        <v>377</v>
      </c>
      <c r="C737" t="s">
        <v>2844</v>
      </c>
      <c r="D737" t="s">
        <v>32</v>
      </c>
      <c r="E737" t="s">
        <v>2845</v>
      </c>
      <c r="F737" s="2">
        <f t="shared" si="63"/>
        <v>3572</v>
      </c>
      <c r="G737" s="1">
        <f t="shared" si="59"/>
        <v>675000</v>
      </c>
      <c r="H737" s="2">
        <f t="shared" si="60"/>
        <v>135</v>
      </c>
      <c r="I737" s="2">
        <f t="shared" si="61"/>
        <v>0</v>
      </c>
      <c r="J737">
        <f t="shared" si="62"/>
        <v>0</v>
      </c>
    </row>
    <row r="738" spans="1:10" x14ac:dyDescent="0.2">
      <c r="A738" t="s">
        <v>806</v>
      </c>
      <c r="B738" t="s">
        <v>229</v>
      </c>
      <c r="C738" t="s">
        <v>807</v>
      </c>
      <c r="D738" t="s">
        <v>808</v>
      </c>
      <c r="E738" t="s">
        <v>809</v>
      </c>
      <c r="F738" s="2">
        <f t="shared" si="63"/>
        <v>3572</v>
      </c>
      <c r="G738" s="1">
        <f t="shared" si="59"/>
        <v>599000</v>
      </c>
      <c r="H738" s="2">
        <f t="shared" si="60"/>
        <v>136</v>
      </c>
      <c r="I738" s="2">
        <f t="shared" si="61"/>
        <v>0</v>
      </c>
      <c r="J738">
        <f t="shared" si="62"/>
        <v>0</v>
      </c>
    </row>
    <row r="739" spans="1:10" x14ac:dyDescent="0.2">
      <c r="A739" t="s">
        <v>1529</v>
      </c>
      <c r="B739" t="s">
        <v>40</v>
      </c>
      <c r="C739" t="s">
        <v>1530</v>
      </c>
      <c r="D739" t="s">
        <v>1531</v>
      </c>
      <c r="E739" t="s">
        <v>1532</v>
      </c>
      <c r="F739" s="2">
        <f t="shared" si="63"/>
        <v>3543</v>
      </c>
      <c r="G739" s="1">
        <f t="shared" si="59"/>
        <v>479500</v>
      </c>
      <c r="H739" s="2">
        <f t="shared" si="60"/>
        <v>136</v>
      </c>
      <c r="I739" s="2">
        <f t="shared" si="61"/>
        <v>8</v>
      </c>
      <c r="J739">
        <f t="shared" si="62"/>
        <v>126</v>
      </c>
    </row>
    <row r="740" spans="1:10" x14ac:dyDescent="0.2">
      <c r="A740" t="s">
        <v>134</v>
      </c>
      <c r="B740" t="s">
        <v>55</v>
      </c>
      <c r="C740" t="s">
        <v>135</v>
      </c>
      <c r="D740" t="s">
        <v>136</v>
      </c>
      <c r="E740" t="s">
        <v>137</v>
      </c>
      <c r="F740" s="2">
        <f t="shared" si="63"/>
        <v>3544</v>
      </c>
      <c r="G740" s="1">
        <f t="shared" si="59"/>
        <v>440000</v>
      </c>
      <c r="H740" s="2">
        <f t="shared" si="60"/>
        <v>137</v>
      </c>
      <c r="I740" s="2">
        <f t="shared" si="61"/>
        <v>8</v>
      </c>
      <c r="J740">
        <f t="shared" si="62"/>
        <v>223</v>
      </c>
    </row>
    <row r="741" spans="1:10" x14ac:dyDescent="0.2">
      <c r="A741" t="s">
        <v>310</v>
      </c>
      <c r="B741" t="s">
        <v>311</v>
      </c>
      <c r="C741" t="s">
        <v>312</v>
      </c>
      <c r="D741" t="s">
        <v>313</v>
      </c>
      <c r="E741" t="s">
        <v>314</v>
      </c>
      <c r="F741" s="2">
        <f t="shared" si="63"/>
        <v>3573</v>
      </c>
      <c r="G741" s="1">
        <f t="shared" si="59"/>
        <v>515000</v>
      </c>
      <c r="H741" s="2">
        <f t="shared" si="60"/>
        <v>137</v>
      </c>
      <c r="I741" s="2">
        <f t="shared" si="61"/>
        <v>8</v>
      </c>
      <c r="J741">
        <f t="shared" si="62"/>
        <v>120</v>
      </c>
    </row>
    <row r="742" spans="1:10" x14ac:dyDescent="0.2">
      <c r="A742" t="s">
        <v>1508</v>
      </c>
      <c r="B742" t="s">
        <v>552</v>
      </c>
      <c r="C742" t="s">
        <v>1509</v>
      </c>
      <c r="D742" t="s">
        <v>52</v>
      </c>
      <c r="E742" t="s">
        <v>1510</v>
      </c>
      <c r="F742" s="2">
        <f t="shared" si="63"/>
        <v>3564</v>
      </c>
      <c r="G742" s="1">
        <f t="shared" si="59"/>
        <v>325000</v>
      </c>
      <c r="H742" s="2">
        <f t="shared" si="60"/>
        <v>137</v>
      </c>
      <c r="I742" s="2">
        <f t="shared" si="61"/>
        <v>8</v>
      </c>
      <c r="J742">
        <f t="shared" si="62"/>
        <v>63</v>
      </c>
    </row>
    <row r="743" spans="1:10" x14ac:dyDescent="0.2">
      <c r="A743" t="s">
        <v>1574</v>
      </c>
      <c r="B743" t="s">
        <v>79</v>
      </c>
      <c r="C743" t="s">
        <v>1575</v>
      </c>
      <c r="D743" t="s">
        <v>303</v>
      </c>
      <c r="E743" t="s">
        <v>1576</v>
      </c>
      <c r="F743" s="2">
        <f t="shared" si="63"/>
        <v>3521</v>
      </c>
      <c r="G743" s="1">
        <f t="shared" si="59"/>
        <v>549000</v>
      </c>
      <c r="H743" s="2">
        <f t="shared" si="60"/>
        <v>137</v>
      </c>
      <c r="I743" s="2">
        <f t="shared" si="61"/>
        <v>8</v>
      </c>
      <c r="J743">
        <f t="shared" si="62"/>
        <v>97</v>
      </c>
    </row>
    <row r="744" spans="1:10" x14ac:dyDescent="0.2">
      <c r="A744" t="s">
        <v>1626</v>
      </c>
      <c r="B744" t="s">
        <v>92</v>
      </c>
      <c r="C744" t="s">
        <v>1627</v>
      </c>
      <c r="D744" t="s">
        <v>231</v>
      </c>
      <c r="E744" t="s">
        <v>1628</v>
      </c>
      <c r="F744" s="2">
        <f t="shared" si="63"/>
        <v>3581</v>
      </c>
      <c r="G744" s="1">
        <f t="shared" si="59"/>
        <v>745000</v>
      </c>
      <c r="H744" s="2">
        <f t="shared" si="60"/>
        <v>137</v>
      </c>
      <c r="I744" s="2">
        <f t="shared" si="61"/>
        <v>0</v>
      </c>
      <c r="J744">
        <f t="shared" si="62"/>
        <v>0</v>
      </c>
    </row>
    <row r="745" spans="1:10" x14ac:dyDescent="0.2">
      <c r="A745" t="s">
        <v>1880</v>
      </c>
      <c r="B745" t="s">
        <v>143</v>
      </c>
      <c r="C745" t="s">
        <v>1881</v>
      </c>
      <c r="D745" t="s">
        <v>1225</v>
      </c>
      <c r="E745" t="s">
        <v>1882</v>
      </c>
      <c r="F745" s="2">
        <f t="shared" si="63"/>
        <v>3544</v>
      </c>
      <c r="G745" s="1">
        <f t="shared" si="59"/>
        <v>439000</v>
      </c>
      <c r="H745" s="2">
        <f t="shared" si="60"/>
        <v>137</v>
      </c>
      <c r="I745" s="2">
        <f t="shared" si="61"/>
        <v>8</v>
      </c>
      <c r="J745">
        <f t="shared" si="62"/>
        <v>97</v>
      </c>
    </row>
    <row r="746" spans="1:10" x14ac:dyDescent="0.2">
      <c r="A746" t="s">
        <v>2143</v>
      </c>
      <c r="B746" t="s">
        <v>40</v>
      </c>
      <c r="C746" t="s">
        <v>2144</v>
      </c>
      <c r="D746" t="s">
        <v>2145</v>
      </c>
      <c r="E746" t="s">
        <v>2146</v>
      </c>
      <c r="F746" s="2">
        <f t="shared" si="63"/>
        <v>3572</v>
      </c>
      <c r="G746" s="1">
        <f t="shared" si="59"/>
        <v>598000</v>
      </c>
      <c r="H746" s="2">
        <f t="shared" si="60"/>
        <v>137</v>
      </c>
      <c r="I746" s="2">
        <f t="shared" si="61"/>
        <v>8</v>
      </c>
      <c r="J746">
        <f t="shared" si="62"/>
        <v>73</v>
      </c>
    </row>
    <row r="747" spans="1:10" x14ac:dyDescent="0.2">
      <c r="A747" t="s">
        <v>520</v>
      </c>
      <c r="B747" t="s">
        <v>306</v>
      </c>
      <c r="C747" t="s">
        <v>521</v>
      </c>
      <c r="D747" t="s">
        <v>89</v>
      </c>
      <c r="E747" t="s">
        <v>522</v>
      </c>
      <c r="F747" s="2">
        <f t="shared" si="63"/>
        <v>3514</v>
      </c>
      <c r="G747" s="1">
        <f t="shared" si="59"/>
        <v>620000</v>
      </c>
      <c r="H747" s="2">
        <f t="shared" si="60"/>
        <v>138</v>
      </c>
      <c r="I747" s="2">
        <f t="shared" si="61"/>
        <v>8</v>
      </c>
      <c r="J747">
        <f t="shared" si="62"/>
        <v>91</v>
      </c>
    </row>
    <row r="748" spans="1:10" x14ac:dyDescent="0.2">
      <c r="A748" t="s">
        <v>1962</v>
      </c>
      <c r="B748" t="s">
        <v>97</v>
      </c>
      <c r="C748" t="s">
        <v>1963</v>
      </c>
      <c r="D748" t="s">
        <v>830</v>
      </c>
      <c r="E748" t="s">
        <v>1964</v>
      </c>
      <c r="F748" s="2">
        <f t="shared" si="63"/>
        <v>3543</v>
      </c>
      <c r="G748" s="1">
        <f t="shared" si="59"/>
        <v>465000</v>
      </c>
      <c r="H748" s="2">
        <f t="shared" si="60"/>
        <v>138</v>
      </c>
      <c r="I748" s="2">
        <f t="shared" si="61"/>
        <v>8</v>
      </c>
      <c r="J748">
        <f t="shared" si="62"/>
        <v>206</v>
      </c>
    </row>
    <row r="749" spans="1:10" x14ac:dyDescent="0.2">
      <c r="A749" t="s">
        <v>2549</v>
      </c>
      <c r="B749" t="s">
        <v>125</v>
      </c>
      <c r="C749" t="s">
        <v>2550</v>
      </c>
      <c r="D749" t="s">
        <v>172</v>
      </c>
      <c r="E749" t="s">
        <v>2551</v>
      </c>
      <c r="F749" s="2">
        <f t="shared" si="63"/>
        <v>3514</v>
      </c>
      <c r="G749" s="1">
        <f t="shared" si="59"/>
        <v>795000</v>
      </c>
      <c r="H749" s="2">
        <f t="shared" si="60"/>
        <v>138</v>
      </c>
      <c r="I749" s="2">
        <f t="shared" si="61"/>
        <v>8</v>
      </c>
      <c r="J749">
        <f t="shared" si="62"/>
        <v>93</v>
      </c>
    </row>
    <row r="750" spans="1:10" x14ac:dyDescent="0.2">
      <c r="A750" t="s">
        <v>2583</v>
      </c>
      <c r="B750" t="s">
        <v>552</v>
      </c>
      <c r="C750" t="s">
        <v>2584</v>
      </c>
      <c r="D750" t="s">
        <v>1023</v>
      </c>
      <c r="E750" t="s">
        <v>2585</v>
      </c>
      <c r="F750" s="2">
        <f t="shared" si="63"/>
        <v>3571</v>
      </c>
      <c r="G750" s="1">
        <f t="shared" si="59"/>
        <v>585000</v>
      </c>
      <c r="H750" s="2">
        <f t="shared" si="60"/>
        <v>138</v>
      </c>
      <c r="I750" s="2">
        <f t="shared" si="61"/>
        <v>8</v>
      </c>
      <c r="J750">
        <f t="shared" si="62"/>
        <v>138</v>
      </c>
    </row>
    <row r="751" spans="1:10" x14ac:dyDescent="0.2">
      <c r="A751" t="s">
        <v>2644</v>
      </c>
      <c r="B751" t="s">
        <v>64</v>
      </c>
      <c r="C751" t="s">
        <v>2645</v>
      </c>
      <c r="D751" t="s">
        <v>526</v>
      </c>
      <c r="E751" t="s">
        <v>2646</v>
      </c>
      <c r="F751" s="2">
        <f t="shared" si="63"/>
        <v>3515</v>
      </c>
      <c r="G751" s="1">
        <f t="shared" si="59"/>
        <v>500000</v>
      </c>
      <c r="H751" s="2">
        <f t="shared" si="60"/>
        <v>138</v>
      </c>
      <c r="I751" s="2">
        <f t="shared" si="61"/>
        <v>8</v>
      </c>
      <c r="J751">
        <f t="shared" si="62"/>
        <v>54</v>
      </c>
    </row>
    <row r="752" spans="1:10" x14ac:dyDescent="0.2">
      <c r="A752" t="s">
        <v>170</v>
      </c>
      <c r="B752" t="s">
        <v>55</v>
      </c>
      <c r="C752" t="s">
        <v>171</v>
      </c>
      <c r="D752" t="s">
        <v>172</v>
      </c>
      <c r="E752" t="s">
        <v>173</v>
      </c>
      <c r="F752" s="2">
        <f t="shared" si="63"/>
        <v>3582</v>
      </c>
      <c r="G752" s="1">
        <f t="shared" si="59"/>
        <v>795000</v>
      </c>
      <c r="H752" s="2">
        <f t="shared" si="60"/>
        <v>139</v>
      </c>
      <c r="I752" s="2">
        <f t="shared" si="61"/>
        <v>8</v>
      </c>
      <c r="J752">
        <f t="shared" si="62"/>
        <v>124</v>
      </c>
    </row>
    <row r="753" spans="1:10" x14ac:dyDescent="0.2">
      <c r="A753" t="s">
        <v>403</v>
      </c>
      <c r="B753" t="s">
        <v>294</v>
      </c>
      <c r="C753" t="s">
        <v>404</v>
      </c>
      <c r="D753" t="s">
        <v>172</v>
      </c>
      <c r="E753" t="s">
        <v>405</v>
      </c>
      <c r="F753" s="2">
        <f t="shared" si="63"/>
        <v>3512</v>
      </c>
      <c r="G753" s="1">
        <f t="shared" si="59"/>
        <v>795000</v>
      </c>
      <c r="H753" s="2">
        <f t="shared" si="60"/>
        <v>139</v>
      </c>
      <c r="I753" s="2">
        <f t="shared" si="61"/>
        <v>0</v>
      </c>
      <c r="J753">
        <f t="shared" si="62"/>
        <v>0</v>
      </c>
    </row>
    <row r="754" spans="1:10" x14ac:dyDescent="0.2">
      <c r="A754" t="s">
        <v>1711</v>
      </c>
      <c r="B754" t="s">
        <v>524</v>
      </c>
      <c r="C754" t="s">
        <v>1712</v>
      </c>
      <c r="D754" t="s">
        <v>1149</v>
      </c>
      <c r="E754" t="s">
        <v>1713</v>
      </c>
      <c r="F754" s="2">
        <f t="shared" si="63"/>
        <v>3515</v>
      </c>
      <c r="G754" s="1">
        <f t="shared" si="59"/>
        <v>565000</v>
      </c>
      <c r="H754" s="2">
        <f t="shared" si="60"/>
        <v>139</v>
      </c>
      <c r="I754" s="2">
        <f t="shared" si="61"/>
        <v>8</v>
      </c>
      <c r="J754">
        <f t="shared" si="62"/>
        <v>55</v>
      </c>
    </row>
    <row r="755" spans="1:10" x14ac:dyDescent="0.2">
      <c r="A755" t="s">
        <v>2783</v>
      </c>
      <c r="B755" t="s">
        <v>148</v>
      </c>
      <c r="C755" t="s">
        <v>2784</v>
      </c>
      <c r="D755" t="s">
        <v>140</v>
      </c>
      <c r="E755" t="s">
        <v>2785</v>
      </c>
      <c r="F755" s="2">
        <f t="shared" si="63"/>
        <v>3515</v>
      </c>
      <c r="G755" s="1">
        <f t="shared" si="59"/>
        <v>535000</v>
      </c>
      <c r="H755" s="2">
        <f t="shared" si="60"/>
        <v>139</v>
      </c>
      <c r="I755" s="2">
        <f t="shared" si="61"/>
        <v>8</v>
      </c>
      <c r="J755">
        <f t="shared" si="62"/>
        <v>82</v>
      </c>
    </row>
    <row r="756" spans="1:10" x14ac:dyDescent="0.2">
      <c r="A756" t="s">
        <v>380</v>
      </c>
      <c r="B756" t="s">
        <v>35</v>
      </c>
      <c r="C756" t="s">
        <v>381</v>
      </c>
      <c r="D756" t="s">
        <v>194</v>
      </c>
      <c r="E756" t="s">
        <v>382</v>
      </c>
      <c r="F756" s="2">
        <f t="shared" si="63"/>
        <v>3521</v>
      </c>
      <c r="G756" s="1">
        <f t="shared" si="59"/>
        <v>400000</v>
      </c>
      <c r="H756" s="2">
        <f t="shared" si="60"/>
        <v>140</v>
      </c>
      <c r="I756" s="2">
        <f t="shared" si="61"/>
        <v>0</v>
      </c>
      <c r="J756">
        <f t="shared" si="62"/>
        <v>0</v>
      </c>
    </row>
    <row r="757" spans="1:10" x14ac:dyDescent="0.2">
      <c r="A757" t="s">
        <v>563</v>
      </c>
      <c r="B757" t="s">
        <v>536</v>
      </c>
      <c r="C757" t="s">
        <v>564</v>
      </c>
      <c r="D757" t="s">
        <v>565</v>
      </c>
      <c r="E757" t="s">
        <v>566</v>
      </c>
      <c r="F757" s="2">
        <f t="shared" si="63"/>
        <v>3512</v>
      </c>
      <c r="G757" s="1">
        <f t="shared" si="59"/>
        <v>489000</v>
      </c>
      <c r="H757" s="2">
        <f t="shared" si="60"/>
        <v>140</v>
      </c>
      <c r="I757" s="2">
        <f t="shared" si="61"/>
        <v>0</v>
      </c>
      <c r="J757">
        <f t="shared" si="62"/>
        <v>0</v>
      </c>
    </row>
    <row r="758" spans="1:10" x14ac:dyDescent="0.2">
      <c r="A758" t="s">
        <v>1335</v>
      </c>
      <c r="B758" t="s">
        <v>259</v>
      </c>
      <c r="C758" t="s">
        <v>1336</v>
      </c>
      <c r="D758" t="s">
        <v>76</v>
      </c>
      <c r="E758" t="s">
        <v>1337</v>
      </c>
      <c r="F758" s="2">
        <f t="shared" si="63"/>
        <v>3512</v>
      </c>
      <c r="G758" s="1">
        <f t="shared" si="59"/>
        <v>650000</v>
      </c>
      <c r="H758" s="2">
        <f t="shared" si="60"/>
        <v>140</v>
      </c>
      <c r="I758" s="2">
        <f t="shared" si="61"/>
        <v>0</v>
      </c>
      <c r="J758">
        <f t="shared" si="62"/>
        <v>0</v>
      </c>
    </row>
    <row r="759" spans="1:10" x14ac:dyDescent="0.2">
      <c r="A759" t="s">
        <v>1821</v>
      </c>
      <c r="B759" t="s">
        <v>792</v>
      </c>
      <c r="C759" t="s">
        <v>1822</v>
      </c>
      <c r="D759" t="s">
        <v>270</v>
      </c>
      <c r="E759" t="s">
        <v>1823</v>
      </c>
      <c r="F759" s="2">
        <f t="shared" si="63"/>
        <v>3544</v>
      </c>
      <c r="G759" s="1">
        <f t="shared" si="59"/>
        <v>419000</v>
      </c>
      <c r="H759" s="2">
        <f t="shared" si="60"/>
        <v>140</v>
      </c>
      <c r="I759" s="2">
        <f t="shared" si="61"/>
        <v>8</v>
      </c>
      <c r="J759">
        <f t="shared" si="62"/>
        <v>138</v>
      </c>
    </row>
    <row r="760" spans="1:10" x14ac:dyDescent="0.2">
      <c r="A760" t="s">
        <v>493</v>
      </c>
      <c r="B760" t="s">
        <v>316</v>
      </c>
      <c r="C760" t="s">
        <v>494</v>
      </c>
      <c r="D760" t="s">
        <v>495</v>
      </c>
      <c r="E760" t="s">
        <v>496</v>
      </c>
      <c r="F760" s="2">
        <f t="shared" si="63"/>
        <v>3543</v>
      </c>
      <c r="G760" s="1">
        <f t="shared" si="59"/>
        <v>415000</v>
      </c>
      <c r="H760" s="2">
        <f t="shared" si="60"/>
        <v>141</v>
      </c>
      <c r="I760" s="2">
        <f t="shared" si="61"/>
        <v>8</v>
      </c>
      <c r="J760">
        <f t="shared" si="62"/>
        <v>172</v>
      </c>
    </row>
    <row r="761" spans="1:10" x14ac:dyDescent="0.2">
      <c r="A761" t="s">
        <v>939</v>
      </c>
      <c r="B761" t="s">
        <v>316</v>
      </c>
      <c r="C761" t="s">
        <v>940</v>
      </c>
      <c r="D761" t="s">
        <v>495</v>
      </c>
      <c r="E761" t="s">
        <v>941</v>
      </c>
      <c r="F761" s="2">
        <f t="shared" si="63"/>
        <v>3544</v>
      </c>
      <c r="G761" s="1">
        <f t="shared" si="59"/>
        <v>415000</v>
      </c>
      <c r="H761" s="2">
        <f t="shared" si="60"/>
        <v>141</v>
      </c>
      <c r="I761" s="2">
        <f t="shared" si="61"/>
        <v>8</v>
      </c>
      <c r="J761">
        <f t="shared" si="62"/>
        <v>115</v>
      </c>
    </row>
    <row r="762" spans="1:10" x14ac:dyDescent="0.2">
      <c r="A762" t="s">
        <v>1227</v>
      </c>
      <c r="B762" t="s">
        <v>245</v>
      </c>
      <c r="C762" t="s">
        <v>1228</v>
      </c>
      <c r="D762" t="s">
        <v>1229</v>
      </c>
      <c r="E762" t="s">
        <v>1230</v>
      </c>
      <c r="F762" s="2">
        <v>3541</v>
      </c>
      <c r="G762" s="1">
        <f t="shared" si="59"/>
        <v>525000</v>
      </c>
      <c r="H762" s="2">
        <f t="shared" si="60"/>
        <v>142</v>
      </c>
      <c r="I762" s="2">
        <f t="shared" si="61"/>
        <v>0</v>
      </c>
      <c r="J762">
        <f t="shared" si="62"/>
        <v>0</v>
      </c>
    </row>
    <row r="763" spans="1:10" x14ac:dyDescent="0.2">
      <c r="A763" t="s">
        <v>2349</v>
      </c>
      <c r="B763" t="s">
        <v>175</v>
      </c>
      <c r="C763" t="s">
        <v>2350</v>
      </c>
      <c r="D763" t="s">
        <v>76</v>
      </c>
      <c r="E763" t="s">
        <v>2351</v>
      </c>
      <c r="F763" s="2">
        <f t="shared" ref="F763:F794" si="64">VALUE(LEFT(RIGHT(C763,15),4))</f>
        <v>3571</v>
      </c>
      <c r="G763" s="1">
        <f t="shared" si="59"/>
        <v>650000</v>
      </c>
      <c r="H763" s="2">
        <f t="shared" si="60"/>
        <v>142</v>
      </c>
      <c r="I763" s="2">
        <f t="shared" si="61"/>
        <v>8</v>
      </c>
      <c r="J763">
        <f t="shared" si="62"/>
        <v>138</v>
      </c>
    </row>
    <row r="764" spans="1:10" x14ac:dyDescent="0.2">
      <c r="A764" t="s">
        <v>2505</v>
      </c>
      <c r="B764" t="s">
        <v>209</v>
      </c>
      <c r="C764" t="s">
        <v>2506</v>
      </c>
      <c r="D764" t="s">
        <v>270</v>
      </c>
      <c r="E764" t="s">
        <v>2507</v>
      </c>
      <c r="F764" s="2">
        <f t="shared" si="64"/>
        <v>3544</v>
      </c>
      <c r="G764" s="1">
        <f t="shared" si="59"/>
        <v>419000</v>
      </c>
      <c r="H764" s="2">
        <f t="shared" si="60"/>
        <v>142</v>
      </c>
      <c r="I764" s="2">
        <f t="shared" si="61"/>
        <v>8</v>
      </c>
      <c r="J764">
        <f t="shared" si="62"/>
        <v>160</v>
      </c>
    </row>
    <row r="765" spans="1:10" x14ac:dyDescent="0.2">
      <c r="A765" t="s">
        <v>2812</v>
      </c>
      <c r="B765" t="s">
        <v>245</v>
      </c>
      <c r="C765" t="s">
        <v>2813</v>
      </c>
      <c r="D765" t="s">
        <v>1375</v>
      </c>
      <c r="E765" t="s">
        <v>2814</v>
      </c>
      <c r="F765" s="2">
        <f t="shared" si="64"/>
        <v>3572</v>
      </c>
      <c r="G765" s="1">
        <f t="shared" si="59"/>
        <v>749000</v>
      </c>
      <c r="H765" s="2">
        <f t="shared" si="60"/>
        <v>142</v>
      </c>
      <c r="I765" s="2">
        <f t="shared" si="61"/>
        <v>0</v>
      </c>
      <c r="J765">
        <f t="shared" si="62"/>
        <v>0</v>
      </c>
    </row>
    <row r="766" spans="1:10" x14ac:dyDescent="0.2">
      <c r="A766" t="s">
        <v>1643</v>
      </c>
      <c r="B766" t="s">
        <v>175</v>
      </c>
      <c r="C766" t="s">
        <v>1644</v>
      </c>
      <c r="D766" t="s">
        <v>1645</v>
      </c>
      <c r="E766" t="s">
        <v>1646</v>
      </c>
      <c r="F766" s="2">
        <f t="shared" si="64"/>
        <v>3581</v>
      </c>
      <c r="G766" s="1">
        <f t="shared" si="59"/>
        <v>685000</v>
      </c>
      <c r="H766" s="2">
        <f t="shared" si="60"/>
        <v>143</v>
      </c>
      <c r="I766" s="2">
        <f t="shared" si="61"/>
        <v>0</v>
      </c>
      <c r="J766">
        <f t="shared" si="62"/>
        <v>0</v>
      </c>
    </row>
    <row r="767" spans="1:10" x14ac:dyDescent="0.2">
      <c r="A767" t="s">
        <v>1868</v>
      </c>
      <c r="B767" t="s">
        <v>552</v>
      </c>
      <c r="C767" t="s">
        <v>1869</v>
      </c>
      <c r="D767" t="s">
        <v>159</v>
      </c>
      <c r="E767" t="s">
        <v>1870</v>
      </c>
      <c r="F767" s="2">
        <f t="shared" si="64"/>
        <v>3544</v>
      </c>
      <c r="G767" s="1">
        <f t="shared" si="59"/>
        <v>425000</v>
      </c>
      <c r="H767" s="2">
        <f t="shared" si="60"/>
        <v>143</v>
      </c>
      <c r="I767" s="2">
        <f t="shared" si="61"/>
        <v>0</v>
      </c>
      <c r="J767">
        <f t="shared" si="62"/>
        <v>0</v>
      </c>
    </row>
    <row r="768" spans="1:10" x14ac:dyDescent="0.2">
      <c r="A768" t="s">
        <v>2160</v>
      </c>
      <c r="B768" t="s">
        <v>833</v>
      </c>
      <c r="C768" t="s">
        <v>2161</v>
      </c>
      <c r="D768" t="s">
        <v>1924</v>
      </c>
      <c r="E768" t="s">
        <v>2162</v>
      </c>
      <c r="F768" s="2">
        <f t="shared" si="64"/>
        <v>3543</v>
      </c>
      <c r="G768" s="1">
        <f t="shared" si="59"/>
        <v>460000</v>
      </c>
      <c r="H768" s="2">
        <f t="shared" si="60"/>
        <v>143</v>
      </c>
      <c r="I768" s="2">
        <f t="shared" si="61"/>
        <v>8</v>
      </c>
      <c r="J768">
        <f t="shared" si="62"/>
        <v>129</v>
      </c>
    </row>
    <row r="769" spans="1:10" x14ac:dyDescent="0.2">
      <c r="A769" t="s">
        <v>1097</v>
      </c>
      <c r="B769" t="s">
        <v>143</v>
      </c>
      <c r="C769" t="s">
        <v>1098</v>
      </c>
      <c r="D769" t="s">
        <v>808</v>
      </c>
      <c r="E769" t="s">
        <v>1099</v>
      </c>
      <c r="F769" s="2">
        <f t="shared" si="64"/>
        <v>3573</v>
      </c>
      <c r="G769" s="1">
        <f t="shared" si="59"/>
        <v>599000</v>
      </c>
      <c r="H769" s="2">
        <f t="shared" si="60"/>
        <v>144</v>
      </c>
      <c r="I769" s="2">
        <f t="shared" si="61"/>
        <v>8</v>
      </c>
      <c r="J769">
        <f t="shared" si="62"/>
        <v>275</v>
      </c>
    </row>
    <row r="770" spans="1:10" x14ac:dyDescent="0.2">
      <c r="A770" t="s">
        <v>2063</v>
      </c>
      <c r="B770" t="s">
        <v>560</v>
      </c>
      <c r="C770" t="s">
        <v>2064</v>
      </c>
      <c r="D770" t="s">
        <v>2065</v>
      </c>
      <c r="E770" t="s">
        <v>2066</v>
      </c>
      <c r="F770" s="2">
        <f t="shared" si="64"/>
        <v>3522</v>
      </c>
      <c r="G770" s="1">
        <f t="shared" ref="G770:G833" si="65">VALUE(MID(D770,3,FIND(" ",D770,3)-3))</f>
        <v>559000</v>
      </c>
      <c r="H770" s="2">
        <f t="shared" ref="H770:H833" si="66">VALUE(LEFT(E770,FIND(" ",E770,1)-1))</f>
        <v>144</v>
      </c>
      <c r="I770" s="2">
        <f t="shared" ref="I770:I833" si="67">IFERROR(FIND("/",E770,1),0)</f>
        <v>8</v>
      </c>
      <c r="J770">
        <f t="shared" ref="J770:J833" si="68">IF(I770=0,0,VALUE(MID(E770,FIND("/",E770,1)+2,(FIND(" ",E770,FIND("/",E770,1)+2)-(FIND("/",E770,1))-1))))</f>
        <v>85</v>
      </c>
    </row>
    <row r="771" spans="1:10" x14ac:dyDescent="0.2">
      <c r="A771" t="s">
        <v>217</v>
      </c>
      <c r="B771" t="s">
        <v>64</v>
      </c>
      <c r="C771" t="s">
        <v>218</v>
      </c>
      <c r="D771" t="s">
        <v>219</v>
      </c>
      <c r="E771" t="s">
        <v>220</v>
      </c>
      <c r="F771" s="2">
        <f t="shared" si="64"/>
        <v>3543</v>
      </c>
      <c r="G771" s="1">
        <f t="shared" si="65"/>
        <v>410000</v>
      </c>
      <c r="H771" s="2">
        <f t="shared" si="66"/>
        <v>145</v>
      </c>
      <c r="I771" s="2">
        <f t="shared" si="67"/>
        <v>8</v>
      </c>
      <c r="J771">
        <f t="shared" si="68"/>
        <v>172</v>
      </c>
    </row>
    <row r="772" spans="1:10" x14ac:dyDescent="0.2">
      <c r="A772" t="s">
        <v>505</v>
      </c>
      <c r="B772" t="s">
        <v>264</v>
      </c>
      <c r="C772" t="s">
        <v>506</v>
      </c>
      <c r="D772" t="s">
        <v>177</v>
      </c>
      <c r="E772" t="s">
        <v>507</v>
      </c>
      <c r="F772" s="2">
        <f t="shared" si="64"/>
        <v>3544</v>
      </c>
      <c r="G772" s="1">
        <f t="shared" si="65"/>
        <v>395000</v>
      </c>
      <c r="H772" s="2">
        <f t="shared" si="66"/>
        <v>145</v>
      </c>
      <c r="I772" s="2">
        <f t="shared" si="67"/>
        <v>0</v>
      </c>
      <c r="J772">
        <f t="shared" si="68"/>
        <v>0</v>
      </c>
    </row>
    <row r="773" spans="1:10" x14ac:dyDescent="0.2">
      <c r="A773" t="s">
        <v>2360</v>
      </c>
      <c r="B773" t="s">
        <v>60</v>
      </c>
      <c r="C773" t="s">
        <v>2361</v>
      </c>
      <c r="D773" t="s">
        <v>2362</v>
      </c>
      <c r="E773" t="s">
        <v>2363</v>
      </c>
      <c r="F773" s="2">
        <f t="shared" si="64"/>
        <v>3544</v>
      </c>
      <c r="G773" s="1">
        <f t="shared" si="65"/>
        <v>529000</v>
      </c>
      <c r="H773" s="2">
        <f t="shared" si="66"/>
        <v>145</v>
      </c>
      <c r="I773" s="2">
        <f t="shared" si="67"/>
        <v>8</v>
      </c>
      <c r="J773">
        <f t="shared" si="68"/>
        <v>179</v>
      </c>
    </row>
    <row r="774" spans="1:10" x14ac:dyDescent="0.2">
      <c r="A774" t="s">
        <v>1548</v>
      </c>
      <c r="B774" t="s">
        <v>417</v>
      </c>
      <c r="C774" t="s">
        <v>1549</v>
      </c>
      <c r="D774" t="s">
        <v>526</v>
      </c>
      <c r="E774" t="s">
        <v>1550</v>
      </c>
      <c r="F774" s="2">
        <f t="shared" si="64"/>
        <v>3523</v>
      </c>
      <c r="G774" s="1">
        <f t="shared" si="65"/>
        <v>500000</v>
      </c>
      <c r="H774" s="2">
        <f t="shared" si="66"/>
        <v>146</v>
      </c>
      <c r="I774" s="2">
        <f t="shared" si="67"/>
        <v>8</v>
      </c>
      <c r="J774">
        <f t="shared" si="68"/>
        <v>141</v>
      </c>
    </row>
    <row r="775" spans="1:10" x14ac:dyDescent="0.2">
      <c r="A775" t="s">
        <v>421</v>
      </c>
      <c r="B775" t="s">
        <v>316</v>
      </c>
      <c r="C775" t="s">
        <v>422</v>
      </c>
      <c r="D775" t="s">
        <v>423</v>
      </c>
      <c r="E775" t="s">
        <v>424</v>
      </c>
      <c r="F775" s="2">
        <f t="shared" si="64"/>
        <v>3543</v>
      </c>
      <c r="G775" s="1">
        <f t="shared" si="65"/>
        <v>385000</v>
      </c>
      <c r="H775" s="2">
        <f t="shared" si="66"/>
        <v>147</v>
      </c>
      <c r="I775" s="2">
        <f t="shared" si="67"/>
        <v>8</v>
      </c>
      <c r="J775">
        <f t="shared" si="68"/>
        <v>144</v>
      </c>
    </row>
    <row r="776" spans="1:10" x14ac:dyDescent="0.2">
      <c r="A776" t="s">
        <v>1674</v>
      </c>
      <c r="B776" t="s">
        <v>575</v>
      </c>
      <c r="C776" t="s">
        <v>1675</v>
      </c>
      <c r="D776" t="s">
        <v>23</v>
      </c>
      <c r="E776" t="s">
        <v>1676</v>
      </c>
      <c r="F776" s="2">
        <f t="shared" si="64"/>
        <v>3571</v>
      </c>
      <c r="G776" s="1">
        <f t="shared" si="65"/>
        <v>875000</v>
      </c>
      <c r="H776" s="2">
        <f t="shared" si="66"/>
        <v>147</v>
      </c>
      <c r="I776" s="2">
        <f t="shared" si="67"/>
        <v>8</v>
      </c>
      <c r="J776">
        <f t="shared" si="68"/>
        <v>236</v>
      </c>
    </row>
    <row r="777" spans="1:10" x14ac:dyDescent="0.2">
      <c r="A777" t="s">
        <v>2490</v>
      </c>
      <c r="B777" t="s">
        <v>342</v>
      </c>
      <c r="C777" t="s">
        <v>2491</v>
      </c>
      <c r="D777" t="s">
        <v>13</v>
      </c>
      <c r="E777" t="s">
        <v>2492</v>
      </c>
      <c r="F777" s="2">
        <f t="shared" si="64"/>
        <v>3543</v>
      </c>
      <c r="G777" s="1">
        <f t="shared" si="65"/>
        <v>450000</v>
      </c>
      <c r="H777" s="2">
        <f t="shared" si="66"/>
        <v>147</v>
      </c>
      <c r="I777" s="2">
        <f t="shared" si="67"/>
        <v>8</v>
      </c>
      <c r="J777">
        <f t="shared" si="68"/>
        <v>166</v>
      </c>
    </row>
    <row r="778" spans="1:10" x14ac:dyDescent="0.2">
      <c r="A778" t="s">
        <v>2934</v>
      </c>
      <c r="B778" t="s">
        <v>485</v>
      </c>
      <c r="C778" t="s">
        <v>2935</v>
      </c>
      <c r="D778" t="s">
        <v>278</v>
      </c>
      <c r="E778" t="s">
        <v>2936</v>
      </c>
      <c r="F778" s="2">
        <f t="shared" si="64"/>
        <v>3511</v>
      </c>
      <c r="G778" s="1">
        <f t="shared" si="65"/>
        <v>725000</v>
      </c>
      <c r="H778" s="2">
        <f t="shared" si="66"/>
        <v>147</v>
      </c>
      <c r="I778" s="2">
        <f t="shared" si="67"/>
        <v>0</v>
      </c>
      <c r="J778">
        <f t="shared" si="68"/>
        <v>0</v>
      </c>
    </row>
    <row r="779" spans="1:10" x14ac:dyDescent="0.2">
      <c r="A779" t="s">
        <v>1423</v>
      </c>
      <c r="B779" t="s">
        <v>26</v>
      </c>
      <c r="C779" t="s">
        <v>1424</v>
      </c>
      <c r="D779" t="s">
        <v>194</v>
      </c>
      <c r="E779" t="s">
        <v>1425</v>
      </c>
      <c r="F779" s="2">
        <f t="shared" si="64"/>
        <v>3544</v>
      </c>
      <c r="G779" s="1">
        <f t="shared" si="65"/>
        <v>400000</v>
      </c>
      <c r="H779" s="2">
        <f t="shared" si="66"/>
        <v>149</v>
      </c>
      <c r="I779" s="2">
        <f t="shared" si="67"/>
        <v>8</v>
      </c>
      <c r="J779">
        <f t="shared" si="68"/>
        <v>186</v>
      </c>
    </row>
    <row r="780" spans="1:10" x14ac:dyDescent="0.2">
      <c r="A780" t="s">
        <v>1658</v>
      </c>
      <c r="B780" t="s">
        <v>115</v>
      </c>
      <c r="C780" t="s">
        <v>1659</v>
      </c>
      <c r="D780" t="s">
        <v>804</v>
      </c>
      <c r="E780" t="s">
        <v>1660</v>
      </c>
      <c r="F780" s="2">
        <f t="shared" si="64"/>
        <v>3543</v>
      </c>
      <c r="G780" s="1">
        <f t="shared" si="65"/>
        <v>449000</v>
      </c>
      <c r="H780" s="2">
        <f t="shared" si="66"/>
        <v>149</v>
      </c>
      <c r="I780" s="2">
        <f t="shared" si="67"/>
        <v>8</v>
      </c>
      <c r="J780">
        <f t="shared" si="68"/>
        <v>164</v>
      </c>
    </row>
    <row r="781" spans="1:10" x14ac:dyDescent="0.2">
      <c r="A781" t="s">
        <v>1950</v>
      </c>
      <c r="B781" t="s">
        <v>209</v>
      </c>
      <c r="C781" t="s">
        <v>1951</v>
      </c>
      <c r="D781" t="s">
        <v>1952</v>
      </c>
      <c r="E781" t="s">
        <v>1953</v>
      </c>
      <c r="F781" s="2">
        <f t="shared" si="64"/>
        <v>3543</v>
      </c>
      <c r="G781" s="1">
        <f t="shared" si="65"/>
        <v>417500</v>
      </c>
      <c r="H781" s="2">
        <f t="shared" si="66"/>
        <v>149</v>
      </c>
      <c r="I781" s="2">
        <f t="shared" si="67"/>
        <v>8</v>
      </c>
      <c r="J781">
        <f t="shared" si="68"/>
        <v>131</v>
      </c>
    </row>
    <row r="782" spans="1:10" x14ac:dyDescent="0.2">
      <c r="A782" t="s">
        <v>2424</v>
      </c>
      <c r="B782" t="s">
        <v>125</v>
      </c>
      <c r="C782" t="s">
        <v>2425</v>
      </c>
      <c r="D782" t="s">
        <v>2069</v>
      </c>
      <c r="E782" t="s">
        <v>2426</v>
      </c>
      <c r="F782" s="2">
        <f t="shared" si="64"/>
        <v>3511</v>
      </c>
      <c r="G782" s="1">
        <f t="shared" si="65"/>
        <v>1325000</v>
      </c>
      <c r="H782" s="2">
        <f t="shared" si="66"/>
        <v>149</v>
      </c>
      <c r="I782" s="2">
        <f t="shared" si="67"/>
        <v>8</v>
      </c>
      <c r="J782">
        <f t="shared" si="68"/>
        <v>181</v>
      </c>
    </row>
    <row r="783" spans="1:10" x14ac:dyDescent="0.2">
      <c r="A783" t="s">
        <v>329</v>
      </c>
      <c r="B783" t="s">
        <v>50</v>
      </c>
      <c r="C783" t="s">
        <v>330</v>
      </c>
      <c r="D783" t="s">
        <v>331</v>
      </c>
      <c r="E783" t="s">
        <v>332</v>
      </c>
      <c r="F783" s="2">
        <f t="shared" si="64"/>
        <v>3524</v>
      </c>
      <c r="G783" s="1">
        <f t="shared" si="65"/>
        <v>389000</v>
      </c>
      <c r="H783" s="2">
        <f t="shared" si="66"/>
        <v>150</v>
      </c>
      <c r="I783" s="2">
        <f t="shared" si="67"/>
        <v>8</v>
      </c>
      <c r="J783">
        <f t="shared" si="68"/>
        <v>229</v>
      </c>
    </row>
    <row r="784" spans="1:10" x14ac:dyDescent="0.2">
      <c r="A784" t="s">
        <v>446</v>
      </c>
      <c r="B784" t="s">
        <v>97</v>
      </c>
      <c r="C784" t="s">
        <v>447</v>
      </c>
      <c r="D784" t="s">
        <v>448</v>
      </c>
      <c r="E784" t="s">
        <v>449</v>
      </c>
      <c r="F784" s="2">
        <f t="shared" si="64"/>
        <v>3583</v>
      </c>
      <c r="G784" s="1">
        <f t="shared" si="65"/>
        <v>639000</v>
      </c>
      <c r="H784" s="2">
        <f t="shared" si="66"/>
        <v>150</v>
      </c>
      <c r="I784" s="2">
        <f t="shared" si="67"/>
        <v>0</v>
      </c>
      <c r="J784">
        <f t="shared" si="68"/>
        <v>0</v>
      </c>
    </row>
    <row r="785" spans="1:10" x14ac:dyDescent="0.2">
      <c r="A785" t="s">
        <v>949</v>
      </c>
      <c r="B785" t="s">
        <v>316</v>
      </c>
      <c r="C785" t="s">
        <v>950</v>
      </c>
      <c r="D785" t="s">
        <v>8</v>
      </c>
      <c r="E785" t="s">
        <v>951</v>
      </c>
      <c r="F785" s="2">
        <f t="shared" si="64"/>
        <v>3543</v>
      </c>
      <c r="G785" s="1">
        <f t="shared" si="65"/>
        <v>399000</v>
      </c>
      <c r="H785" s="2">
        <f t="shared" si="66"/>
        <v>150</v>
      </c>
      <c r="I785" s="2">
        <f t="shared" si="67"/>
        <v>8</v>
      </c>
      <c r="J785">
        <f t="shared" si="68"/>
        <v>152</v>
      </c>
    </row>
    <row r="786" spans="1:10" x14ac:dyDescent="0.2">
      <c r="A786" t="s">
        <v>1265</v>
      </c>
      <c r="B786" t="s">
        <v>157</v>
      </c>
      <c r="C786" t="s">
        <v>1266</v>
      </c>
      <c r="D786" t="s">
        <v>13</v>
      </c>
      <c r="E786" t="s">
        <v>1267</v>
      </c>
      <c r="F786" s="2">
        <f t="shared" si="64"/>
        <v>3543</v>
      </c>
      <c r="G786" s="1">
        <f t="shared" si="65"/>
        <v>450000</v>
      </c>
      <c r="H786" s="2">
        <f t="shared" si="66"/>
        <v>150</v>
      </c>
      <c r="I786" s="2">
        <f t="shared" si="67"/>
        <v>8</v>
      </c>
      <c r="J786">
        <f t="shared" si="68"/>
        <v>240</v>
      </c>
    </row>
    <row r="787" spans="1:10" x14ac:dyDescent="0.2">
      <c r="A787" t="s">
        <v>1502</v>
      </c>
      <c r="B787" t="s">
        <v>40</v>
      </c>
      <c r="C787" t="s">
        <v>1503</v>
      </c>
      <c r="D787" t="s">
        <v>13</v>
      </c>
      <c r="E787" t="s">
        <v>1504</v>
      </c>
      <c r="F787" s="2">
        <f t="shared" si="64"/>
        <v>3533</v>
      </c>
      <c r="G787" s="1">
        <f t="shared" si="65"/>
        <v>450000</v>
      </c>
      <c r="H787" s="2">
        <f t="shared" si="66"/>
        <v>150</v>
      </c>
      <c r="I787" s="2">
        <f t="shared" si="67"/>
        <v>8</v>
      </c>
      <c r="J787">
        <f t="shared" si="68"/>
        <v>155</v>
      </c>
    </row>
    <row r="788" spans="1:10" x14ac:dyDescent="0.2">
      <c r="A788" t="s">
        <v>1779</v>
      </c>
      <c r="B788" t="s">
        <v>143</v>
      </c>
      <c r="C788" t="s">
        <v>1780</v>
      </c>
      <c r="D788" t="s">
        <v>1781</v>
      </c>
      <c r="E788" t="s">
        <v>1782</v>
      </c>
      <c r="F788" s="2">
        <f t="shared" si="64"/>
        <v>3571</v>
      </c>
      <c r="G788" s="1">
        <f t="shared" si="65"/>
        <v>779000</v>
      </c>
      <c r="H788" s="2">
        <f t="shared" si="66"/>
        <v>150</v>
      </c>
      <c r="I788" s="2">
        <f t="shared" si="67"/>
        <v>8</v>
      </c>
      <c r="J788">
        <f t="shared" si="68"/>
        <v>246</v>
      </c>
    </row>
    <row r="789" spans="1:10" x14ac:dyDescent="0.2">
      <c r="A789" t="s">
        <v>2326</v>
      </c>
      <c r="B789" t="s">
        <v>209</v>
      </c>
      <c r="C789" t="s">
        <v>2327</v>
      </c>
      <c r="D789" t="s">
        <v>2328</v>
      </c>
      <c r="E789" t="s">
        <v>2329</v>
      </c>
      <c r="F789" s="2">
        <f t="shared" si="64"/>
        <v>3544</v>
      </c>
      <c r="G789" s="1">
        <f t="shared" si="65"/>
        <v>429000</v>
      </c>
      <c r="H789" s="2">
        <f t="shared" si="66"/>
        <v>150</v>
      </c>
      <c r="I789" s="2">
        <f t="shared" si="67"/>
        <v>8</v>
      </c>
      <c r="J789">
        <f t="shared" si="68"/>
        <v>171</v>
      </c>
    </row>
    <row r="790" spans="1:10" x14ac:dyDescent="0.2">
      <c r="A790" t="s">
        <v>2834</v>
      </c>
      <c r="B790" t="s">
        <v>21</v>
      </c>
      <c r="C790" t="s">
        <v>2835</v>
      </c>
      <c r="D790" t="s">
        <v>23</v>
      </c>
      <c r="E790" t="s">
        <v>2836</v>
      </c>
      <c r="F790" s="2">
        <f t="shared" si="64"/>
        <v>3533</v>
      </c>
      <c r="G790" s="1">
        <f t="shared" si="65"/>
        <v>875000</v>
      </c>
      <c r="H790" s="2">
        <f t="shared" si="66"/>
        <v>150</v>
      </c>
      <c r="I790" s="2">
        <f t="shared" si="67"/>
        <v>0</v>
      </c>
      <c r="J790">
        <f t="shared" si="68"/>
        <v>0</v>
      </c>
    </row>
    <row r="791" spans="1:10" x14ac:dyDescent="0.2">
      <c r="A791" t="s">
        <v>653</v>
      </c>
      <c r="B791" t="s">
        <v>240</v>
      </c>
      <c r="C791" t="s">
        <v>654</v>
      </c>
      <c r="D791" t="s">
        <v>655</v>
      </c>
      <c r="E791" t="s">
        <v>656</v>
      </c>
      <c r="F791" s="2">
        <f t="shared" si="64"/>
        <v>3543</v>
      </c>
      <c r="G791" s="1">
        <f t="shared" si="65"/>
        <v>459500</v>
      </c>
      <c r="H791" s="2">
        <f t="shared" si="66"/>
        <v>151</v>
      </c>
      <c r="I791" s="2">
        <f t="shared" si="67"/>
        <v>0</v>
      </c>
      <c r="J791">
        <f t="shared" si="68"/>
        <v>0</v>
      </c>
    </row>
    <row r="792" spans="1:10" x14ac:dyDescent="0.2">
      <c r="A792" t="s">
        <v>1119</v>
      </c>
      <c r="B792" t="s">
        <v>120</v>
      </c>
      <c r="C792" t="s">
        <v>1120</v>
      </c>
      <c r="D792" t="s">
        <v>172</v>
      </c>
      <c r="E792" t="s">
        <v>1121</v>
      </c>
      <c r="F792" s="2">
        <f t="shared" si="64"/>
        <v>3571</v>
      </c>
      <c r="G792" s="1">
        <f t="shared" si="65"/>
        <v>795000</v>
      </c>
      <c r="H792" s="2">
        <f t="shared" si="66"/>
        <v>151</v>
      </c>
      <c r="I792" s="2">
        <f t="shared" si="67"/>
        <v>8</v>
      </c>
      <c r="J792">
        <f t="shared" si="68"/>
        <v>165</v>
      </c>
    </row>
    <row r="793" spans="1:10" x14ac:dyDescent="0.2">
      <c r="A793" t="s">
        <v>2200</v>
      </c>
      <c r="B793" t="s">
        <v>50</v>
      </c>
      <c r="C793" t="s">
        <v>2201</v>
      </c>
      <c r="D793" t="s">
        <v>172</v>
      </c>
      <c r="E793" t="s">
        <v>2202</v>
      </c>
      <c r="F793" s="2">
        <f t="shared" si="64"/>
        <v>3566</v>
      </c>
      <c r="G793" s="1">
        <f t="shared" si="65"/>
        <v>795000</v>
      </c>
      <c r="H793" s="2">
        <f t="shared" si="66"/>
        <v>151</v>
      </c>
      <c r="I793" s="2">
        <f t="shared" si="67"/>
        <v>8</v>
      </c>
      <c r="J793">
        <f t="shared" si="68"/>
        <v>7387</v>
      </c>
    </row>
    <row r="794" spans="1:10" x14ac:dyDescent="0.2">
      <c r="A794" t="s">
        <v>280</v>
      </c>
      <c r="B794" t="s">
        <v>229</v>
      </c>
      <c r="C794" t="s">
        <v>281</v>
      </c>
      <c r="D794" t="s">
        <v>76</v>
      </c>
      <c r="E794" t="s">
        <v>282</v>
      </c>
      <c r="F794" s="2">
        <f t="shared" si="64"/>
        <v>3581</v>
      </c>
      <c r="G794" s="1">
        <f t="shared" si="65"/>
        <v>650000</v>
      </c>
      <c r="H794" s="2">
        <f t="shared" si="66"/>
        <v>152</v>
      </c>
      <c r="I794" s="2">
        <f t="shared" si="67"/>
        <v>8</v>
      </c>
      <c r="J794">
        <f t="shared" si="68"/>
        <v>96</v>
      </c>
    </row>
    <row r="795" spans="1:10" x14ac:dyDescent="0.2">
      <c r="A795" t="s">
        <v>802</v>
      </c>
      <c r="B795" t="s">
        <v>316</v>
      </c>
      <c r="C795" t="s">
        <v>803</v>
      </c>
      <c r="D795" t="s">
        <v>804</v>
      </c>
      <c r="E795" t="s">
        <v>805</v>
      </c>
      <c r="F795" s="2">
        <f t="shared" ref="F795:F826" si="69">VALUE(LEFT(RIGHT(C795,15),4))</f>
        <v>3544</v>
      </c>
      <c r="G795" s="1">
        <f t="shared" si="65"/>
        <v>449000</v>
      </c>
      <c r="H795" s="2">
        <f t="shared" si="66"/>
        <v>152</v>
      </c>
      <c r="I795" s="2">
        <f t="shared" si="67"/>
        <v>8</v>
      </c>
      <c r="J795">
        <f t="shared" si="68"/>
        <v>107</v>
      </c>
    </row>
    <row r="796" spans="1:10" x14ac:dyDescent="0.2">
      <c r="A796" t="s">
        <v>2681</v>
      </c>
      <c r="B796" t="s">
        <v>26</v>
      </c>
      <c r="C796" t="s">
        <v>2682</v>
      </c>
      <c r="D796" t="s">
        <v>159</v>
      </c>
      <c r="E796" t="s">
        <v>2683</v>
      </c>
      <c r="F796" s="2">
        <f t="shared" si="69"/>
        <v>3543</v>
      </c>
      <c r="G796" s="1">
        <f t="shared" si="65"/>
        <v>425000</v>
      </c>
      <c r="H796" s="2">
        <f t="shared" si="66"/>
        <v>152</v>
      </c>
      <c r="I796" s="2">
        <f t="shared" si="67"/>
        <v>8</v>
      </c>
      <c r="J796">
        <f t="shared" si="68"/>
        <v>162</v>
      </c>
    </row>
    <row r="797" spans="1:10" x14ac:dyDescent="0.2">
      <c r="A797" t="s">
        <v>1794</v>
      </c>
      <c r="B797" t="s">
        <v>40</v>
      </c>
      <c r="C797" t="s">
        <v>1795</v>
      </c>
      <c r="D797" t="s">
        <v>846</v>
      </c>
      <c r="E797" t="s">
        <v>1796</v>
      </c>
      <c r="F797" s="2">
        <f t="shared" si="69"/>
        <v>3544</v>
      </c>
      <c r="G797" s="1">
        <f t="shared" si="65"/>
        <v>850000</v>
      </c>
      <c r="H797" s="2">
        <f t="shared" si="66"/>
        <v>153</v>
      </c>
      <c r="I797" s="2">
        <f t="shared" si="67"/>
        <v>8</v>
      </c>
      <c r="J797">
        <f t="shared" si="68"/>
        <v>580</v>
      </c>
    </row>
    <row r="798" spans="1:10" x14ac:dyDescent="0.2">
      <c r="A798" t="s">
        <v>1858</v>
      </c>
      <c r="B798" t="s">
        <v>485</v>
      </c>
      <c r="C798" t="s">
        <v>1859</v>
      </c>
      <c r="D798" t="s">
        <v>624</v>
      </c>
      <c r="E798" t="s">
        <v>1860</v>
      </c>
      <c r="F798" s="2">
        <f t="shared" si="69"/>
        <v>3581</v>
      </c>
      <c r="G798" s="1">
        <f t="shared" si="65"/>
        <v>700000</v>
      </c>
      <c r="H798" s="2">
        <f t="shared" si="66"/>
        <v>153</v>
      </c>
      <c r="I798" s="2">
        <f t="shared" si="67"/>
        <v>0</v>
      </c>
      <c r="J798">
        <f t="shared" si="68"/>
        <v>0</v>
      </c>
    </row>
    <row r="799" spans="1:10" x14ac:dyDescent="0.2">
      <c r="A799" t="s">
        <v>2796</v>
      </c>
      <c r="B799" t="s">
        <v>204</v>
      </c>
      <c r="C799" t="s">
        <v>2797</v>
      </c>
      <c r="D799" t="s">
        <v>495</v>
      </c>
      <c r="E799" t="s">
        <v>2798</v>
      </c>
      <c r="F799" s="2">
        <f t="shared" si="69"/>
        <v>3543</v>
      </c>
      <c r="G799" s="1">
        <f t="shared" si="65"/>
        <v>415000</v>
      </c>
      <c r="H799" s="2">
        <f t="shared" si="66"/>
        <v>153</v>
      </c>
      <c r="I799" s="2">
        <f t="shared" si="67"/>
        <v>8</v>
      </c>
      <c r="J799">
        <f t="shared" si="68"/>
        <v>109</v>
      </c>
    </row>
    <row r="800" spans="1:10" x14ac:dyDescent="0.2">
      <c r="A800" t="s">
        <v>1817</v>
      </c>
      <c r="B800" t="s">
        <v>115</v>
      </c>
      <c r="C800" t="s">
        <v>1818</v>
      </c>
      <c r="D800" t="s">
        <v>1819</v>
      </c>
      <c r="E800" t="s">
        <v>1820</v>
      </c>
      <c r="F800" s="2">
        <f t="shared" si="69"/>
        <v>3515</v>
      </c>
      <c r="G800" s="1">
        <f t="shared" si="65"/>
        <v>579000</v>
      </c>
      <c r="H800" s="2">
        <f t="shared" si="66"/>
        <v>154</v>
      </c>
      <c r="I800" s="2">
        <f t="shared" si="67"/>
        <v>8</v>
      </c>
      <c r="J800">
        <f t="shared" si="68"/>
        <v>129</v>
      </c>
    </row>
    <row r="801" spans="1:10" x14ac:dyDescent="0.2">
      <c r="A801" t="s">
        <v>2371</v>
      </c>
      <c r="B801" t="s">
        <v>417</v>
      </c>
      <c r="C801" t="s">
        <v>2372</v>
      </c>
      <c r="D801" t="s">
        <v>2373</v>
      </c>
      <c r="E801" t="s">
        <v>2374</v>
      </c>
      <c r="F801" s="2">
        <f t="shared" si="69"/>
        <v>3541</v>
      </c>
      <c r="G801" s="1">
        <f t="shared" si="65"/>
        <v>479000</v>
      </c>
      <c r="H801" s="2">
        <f t="shared" si="66"/>
        <v>154</v>
      </c>
      <c r="I801" s="2">
        <f t="shared" si="67"/>
        <v>8</v>
      </c>
      <c r="J801">
        <f t="shared" si="68"/>
        <v>123</v>
      </c>
    </row>
    <row r="802" spans="1:10" x14ac:dyDescent="0.2">
      <c r="A802" t="s">
        <v>1958</v>
      </c>
      <c r="B802" t="s">
        <v>45</v>
      </c>
      <c r="C802" t="s">
        <v>1959</v>
      </c>
      <c r="D802" t="s">
        <v>1960</v>
      </c>
      <c r="E802" t="s">
        <v>1961</v>
      </c>
      <c r="F802" s="2">
        <f t="shared" si="69"/>
        <v>3544</v>
      </c>
      <c r="G802" s="1">
        <f t="shared" si="65"/>
        <v>699500</v>
      </c>
      <c r="H802" s="2">
        <f t="shared" si="66"/>
        <v>155</v>
      </c>
      <c r="I802" s="2">
        <f t="shared" si="67"/>
        <v>8</v>
      </c>
      <c r="J802">
        <f t="shared" si="68"/>
        <v>1025</v>
      </c>
    </row>
    <row r="803" spans="1:10" x14ac:dyDescent="0.2">
      <c r="A803" t="s">
        <v>2088</v>
      </c>
      <c r="B803" t="s">
        <v>143</v>
      </c>
      <c r="C803" t="s">
        <v>2089</v>
      </c>
      <c r="D803" t="s">
        <v>2090</v>
      </c>
      <c r="E803" t="s">
        <v>2091</v>
      </c>
      <c r="F803" s="2">
        <f t="shared" si="69"/>
        <v>3571</v>
      </c>
      <c r="G803" s="1">
        <f t="shared" si="65"/>
        <v>925000</v>
      </c>
      <c r="H803" s="2">
        <f t="shared" si="66"/>
        <v>155</v>
      </c>
      <c r="I803" s="2">
        <f t="shared" si="67"/>
        <v>8</v>
      </c>
      <c r="J803">
        <f t="shared" si="68"/>
        <v>256</v>
      </c>
    </row>
    <row r="804" spans="1:10" x14ac:dyDescent="0.2">
      <c r="A804" t="s">
        <v>2102</v>
      </c>
      <c r="B804" t="s">
        <v>350</v>
      </c>
      <c r="C804" t="s">
        <v>2103</v>
      </c>
      <c r="D804" t="s">
        <v>448</v>
      </c>
      <c r="E804" t="s">
        <v>2104</v>
      </c>
      <c r="F804" s="2">
        <f t="shared" si="69"/>
        <v>3531</v>
      </c>
      <c r="G804" s="1">
        <f t="shared" si="65"/>
        <v>639000</v>
      </c>
      <c r="H804" s="2">
        <f t="shared" si="66"/>
        <v>155</v>
      </c>
      <c r="I804" s="2">
        <f t="shared" si="67"/>
        <v>8</v>
      </c>
      <c r="J804">
        <f t="shared" si="68"/>
        <v>108</v>
      </c>
    </row>
    <row r="805" spans="1:10" x14ac:dyDescent="0.2">
      <c r="A805" t="s">
        <v>2959</v>
      </c>
      <c r="B805" t="s">
        <v>125</v>
      </c>
      <c r="C805" t="s">
        <v>2960</v>
      </c>
      <c r="D805" t="s">
        <v>2961</v>
      </c>
      <c r="E805" t="s">
        <v>2962</v>
      </c>
      <c r="F805" s="2">
        <f t="shared" si="69"/>
        <v>3573</v>
      </c>
      <c r="G805" s="1">
        <f t="shared" si="65"/>
        <v>650000</v>
      </c>
      <c r="H805" s="2">
        <f t="shared" si="66"/>
        <v>155</v>
      </c>
      <c r="I805" s="2">
        <f t="shared" si="67"/>
        <v>0</v>
      </c>
      <c r="J805">
        <f t="shared" si="68"/>
        <v>0</v>
      </c>
    </row>
    <row r="806" spans="1:10" x14ac:dyDescent="0.2">
      <c r="A806" t="s">
        <v>78</v>
      </c>
      <c r="B806" t="s">
        <v>79</v>
      </c>
      <c r="C806" t="s">
        <v>80</v>
      </c>
      <c r="D806" t="s">
        <v>81</v>
      </c>
      <c r="E806" t="s">
        <v>82</v>
      </c>
      <c r="F806" s="2">
        <f t="shared" si="69"/>
        <v>3582</v>
      </c>
      <c r="G806" s="1">
        <f t="shared" si="65"/>
        <v>1085000</v>
      </c>
      <c r="H806" s="2">
        <f t="shared" si="66"/>
        <v>156</v>
      </c>
      <c r="I806" s="2">
        <f t="shared" si="67"/>
        <v>0</v>
      </c>
      <c r="J806">
        <f t="shared" si="68"/>
        <v>0</v>
      </c>
    </row>
    <row r="807" spans="1:10" x14ac:dyDescent="0.2">
      <c r="A807" t="s">
        <v>2036</v>
      </c>
      <c r="B807" t="s">
        <v>97</v>
      </c>
      <c r="C807" t="s">
        <v>2037</v>
      </c>
      <c r="D807" t="s">
        <v>226</v>
      </c>
      <c r="E807" t="s">
        <v>2038</v>
      </c>
      <c r="F807" s="2">
        <f t="shared" si="69"/>
        <v>3544</v>
      </c>
      <c r="G807" s="1">
        <f t="shared" si="65"/>
        <v>575000</v>
      </c>
      <c r="H807" s="2">
        <f t="shared" si="66"/>
        <v>156</v>
      </c>
      <c r="I807" s="2">
        <f t="shared" si="67"/>
        <v>8</v>
      </c>
      <c r="J807">
        <f t="shared" si="68"/>
        <v>248</v>
      </c>
    </row>
    <row r="808" spans="1:10" x14ac:dyDescent="0.2">
      <c r="A808" t="s">
        <v>2831</v>
      </c>
      <c r="B808" t="s">
        <v>60</v>
      </c>
      <c r="C808" t="s">
        <v>2832</v>
      </c>
      <c r="D808" t="s">
        <v>145</v>
      </c>
      <c r="E808" t="s">
        <v>2833</v>
      </c>
      <c r="F808" s="2">
        <f t="shared" si="69"/>
        <v>3515</v>
      </c>
      <c r="G808" s="1">
        <f t="shared" si="65"/>
        <v>589000</v>
      </c>
      <c r="H808" s="2">
        <f t="shared" si="66"/>
        <v>156</v>
      </c>
      <c r="I808" s="2">
        <f t="shared" si="67"/>
        <v>8</v>
      </c>
      <c r="J808">
        <f t="shared" si="68"/>
        <v>130</v>
      </c>
    </row>
    <row r="809" spans="1:10" x14ac:dyDescent="0.2">
      <c r="A809" t="s">
        <v>599</v>
      </c>
      <c r="B809" t="s">
        <v>84</v>
      </c>
      <c r="C809" t="s">
        <v>600</v>
      </c>
      <c r="D809" t="s">
        <v>601</v>
      </c>
      <c r="E809" t="s">
        <v>602</v>
      </c>
      <c r="F809" s="2">
        <f t="shared" si="69"/>
        <v>3544</v>
      </c>
      <c r="G809" s="1">
        <f t="shared" si="65"/>
        <v>475000</v>
      </c>
      <c r="H809" s="2">
        <f t="shared" si="66"/>
        <v>157</v>
      </c>
      <c r="I809" s="2">
        <f t="shared" si="67"/>
        <v>0</v>
      </c>
      <c r="J809">
        <f t="shared" si="68"/>
        <v>0</v>
      </c>
    </row>
    <row r="810" spans="1:10" x14ac:dyDescent="0.2">
      <c r="A810" t="s">
        <v>320</v>
      </c>
      <c r="B810" t="s">
        <v>60</v>
      </c>
      <c r="C810" t="s">
        <v>321</v>
      </c>
      <c r="D810" t="s">
        <v>322</v>
      </c>
      <c r="E810" t="s">
        <v>323</v>
      </c>
      <c r="F810" s="2">
        <f t="shared" si="69"/>
        <v>3544</v>
      </c>
      <c r="G810" s="1">
        <f t="shared" si="65"/>
        <v>635000</v>
      </c>
      <c r="H810" s="2">
        <f t="shared" si="66"/>
        <v>159</v>
      </c>
      <c r="I810" s="2">
        <f t="shared" si="67"/>
        <v>8</v>
      </c>
      <c r="J810">
        <f t="shared" si="68"/>
        <v>1418</v>
      </c>
    </row>
    <row r="811" spans="1:10" x14ac:dyDescent="0.2">
      <c r="A811" t="s">
        <v>497</v>
      </c>
      <c r="B811" t="s">
        <v>377</v>
      </c>
      <c r="C811" t="s">
        <v>498</v>
      </c>
      <c r="D811" t="s">
        <v>499</v>
      </c>
      <c r="E811" t="s">
        <v>500</v>
      </c>
      <c r="F811" s="2">
        <f t="shared" si="69"/>
        <v>3511</v>
      </c>
      <c r="G811" s="1">
        <f t="shared" si="65"/>
        <v>750000</v>
      </c>
      <c r="H811" s="2">
        <f t="shared" si="66"/>
        <v>160</v>
      </c>
      <c r="I811" s="2">
        <f t="shared" si="67"/>
        <v>0</v>
      </c>
      <c r="J811">
        <f t="shared" si="68"/>
        <v>0</v>
      </c>
    </row>
    <row r="812" spans="1:10" x14ac:dyDescent="0.2">
      <c r="A812" t="s">
        <v>1042</v>
      </c>
      <c r="B812" t="s">
        <v>26</v>
      </c>
      <c r="C812" t="s">
        <v>1043</v>
      </c>
      <c r="D812" t="s">
        <v>1044</v>
      </c>
      <c r="E812" t="s">
        <v>1045</v>
      </c>
      <c r="F812" s="2">
        <f t="shared" si="69"/>
        <v>3584</v>
      </c>
      <c r="G812" s="1">
        <f t="shared" si="65"/>
        <v>699000</v>
      </c>
      <c r="H812" s="2">
        <f t="shared" si="66"/>
        <v>160</v>
      </c>
      <c r="I812" s="2">
        <f t="shared" si="67"/>
        <v>8</v>
      </c>
      <c r="J812">
        <f t="shared" si="68"/>
        <v>254</v>
      </c>
    </row>
    <row r="813" spans="1:10" x14ac:dyDescent="0.2">
      <c r="A813" t="s">
        <v>1724</v>
      </c>
      <c r="B813" t="s">
        <v>120</v>
      </c>
      <c r="C813" t="s">
        <v>1725</v>
      </c>
      <c r="D813" t="s">
        <v>32</v>
      </c>
      <c r="E813" t="s">
        <v>1726</v>
      </c>
      <c r="F813" s="2">
        <f t="shared" si="69"/>
        <v>3511</v>
      </c>
      <c r="G813" s="1">
        <f t="shared" si="65"/>
        <v>675000</v>
      </c>
      <c r="H813" s="2">
        <f t="shared" si="66"/>
        <v>160</v>
      </c>
      <c r="I813" s="2">
        <f t="shared" si="67"/>
        <v>8</v>
      </c>
      <c r="J813">
        <f t="shared" si="68"/>
        <v>59</v>
      </c>
    </row>
    <row r="814" spans="1:10" x14ac:dyDescent="0.2">
      <c r="A814" t="s">
        <v>2799</v>
      </c>
      <c r="B814" t="s">
        <v>485</v>
      </c>
      <c r="C814" t="s">
        <v>2800</v>
      </c>
      <c r="D814" t="s">
        <v>2801</v>
      </c>
      <c r="E814" t="s">
        <v>2802</v>
      </c>
      <c r="F814" s="2">
        <f t="shared" si="69"/>
        <v>3583</v>
      </c>
      <c r="G814" s="1">
        <f t="shared" si="65"/>
        <v>780000</v>
      </c>
      <c r="H814" s="2">
        <f t="shared" si="66"/>
        <v>161</v>
      </c>
      <c r="I814" s="2">
        <f t="shared" si="67"/>
        <v>8</v>
      </c>
      <c r="J814">
        <f t="shared" si="68"/>
        <v>180</v>
      </c>
    </row>
    <row r="815" spans="1:10" x14ac:dyDescent="0.2">
      <c r="A815" t="s">
        <v>439</v>
      </c>
      <c r="B815" t="s">
        <v>26</v>
      </c>
      <c r="C815" t="s">
        <v>440</v>
      </c>
      <c r="D815" t="s">
        <v>159</v>
      </c>
      <c r="E815" t="s">
        <v>441</v>
      </c>
      <c r="F815" s="2">
        <f t="shared" si="69"/>
        <v>3544</v>
      </c>
      <c r="G815" s="1">
        <f t="shared" si="65"/>
        <v>425000</v>
      </c>
      <c r="H815" s="2">
        <f t="shared" si="66"/>
        <v>163</v>
      </c>
      <c r="I815" s="2">
        <f t="shared" si="67"/>
        <v>8</v>
      </c>
      <c r="J815">
        <f t="shared" si="68"/>
        <v>176</v>
      </c>
    </row>
    <row r="816" spans="1:10" x14ac:dyDescent="0.2">
      <c r="A816" t="s">
        <v>2153</v>
      </c>
      <c r="B816" t="s">
        <v>264</v>
      </c>
      <c r="C816" t="s">
        <v>2154</v>
      </c>
      <c r="D816" t="s">
        <v>2155</v>
      </c>
      <c r="E816" t="s">
        <v>2156</v>
      </c>
      <c r="F816" s="2">
        <f t="shared" si="69"/>
        <v>3584</v>
      </c>
      <c r="G816" s="1">
        <f t="shared" si="65"/>
        <v>1100000</v>
      </c>
      <c r="H816" s="2">
        <f t="shared" si="66"/>
        <v>163</v>
      </c>
      <c r="I816" s="2">
        <f t="shared" si="67"/>
        <v>8</v>
      </c>
      <c r="J816">
        <f t="shared" si="68"/>
        <v>525</v>
      </c>
    </row>
    <row r="817" spans="1:10" x14ac:dyDescent="0.2">
      <c r="A817" t="s">
        <v>508</v>
      </c>
      <c r="B817" t="s">
        <v>6</v>
      </c>
      <c r="C817" t="s">
        <v>509</v>
      </c>
      <c r="D817" t="s">
        <v>510</v>
      </c>
      <c r="E817" t="s">
        <v>511</v>
      </c>
      <c r="F817" s="2">
        <f t="shared" si="69"/>
        <v>3584</v>
      </c>
      <c r="G817" s="1">
        <f t="shared" si="65"/>
        <v>895000</v>
      </c>
      <c r="H817" s="2">
        <f t="shared" si="66"/>
        <v>164</v>
      </c>
      <c r="I817" s="2">
        <f t="shared" si="67"/>
        <v>8</v>
      </c>
      <c r="J817">
        <f t="shared" si="68"/>
        <v>213</v>
      </c>
    </row>
    <row r="818" spans="1:10" x14ac:dyDescent="0.2">
      <c r="A818" t="s">
        <v>1391</v>
      </c>
      <c r="B818" t="s">
        <v>6</v>
      </c>
      <c r="C818" t="s">
        <v>1392</v>
      </c>
      <c r="D818" t="s">
        <v>18</v>
      </c>
      <c r="E818" t="s">
        <v>1393</v>
      </c>
      <c r="F818" s="2">
        <f t="shared" si="69"/>
        <v>3544</v>
      </c>
      <c r="G818" s="1">
        <f t="shared" si="65"/>
        <v>525000</v>
      </c>
      <c r="H818" s="2">
        <f t="shared" si="66"/>
        <v>164</v>
      </c>
      <c r="I818" s="2">
        <f t="shared" si="67"/>
        <v>8</v>
      </c>
      <c r="J818">
        <f t="shared" si="68"/>
        <v>215</v>
      </c>
    </row>
    <row r="819" spans="1:10" x14ac:dyDescent="0.2">
      <c r="A819" t="s">
        <v>1629</v>
      </c>
      <c r="B819" t="s">
        <v>115</v>
      </c>
      <c r="C819" t="s">
        <v>1630</v>
      </c>
      <c r="D819" t="s">
        <v>8</v>
      </c>
      <c r="E819" t="s">
        <v>1631</v>
      </c>
      <c r="F819" s="2">
        <f t="shared" si="69"/>
        <v>3544</v>
      </c>
      <c r="G819" s="1">
        <f t="shared" si="65"/>
        <v>399000</v>
      </c>
      <c r="H819" s="2">
        <f t="shared" si="66"/>
        <v>164</v>
      </c>
      <c r="I819" s="2">
        <f t="shared" si="67"/>
        <v>8</v>
      </c>
      <c r="J819">
        <f t="shared" si="68"/>
        <v>157</v>
      </c>
    </row>
    <row r="820" spans="1:10" x14ac:dyDescent="0.2">
      <c r="A820" t="s">
        <v>1757</v>
      </c>
      <c r="B820" t="s">
        <v>524</v>
      </c>
      <c r="C820" t="s">
        <v>1758</v>
      </c>
      <c r="D820" t="s">
        <v>580</v>
      </c>
      <c r="E820" t="s">
        <v>1759</v>
      </c>
      <c r="F820" s="2">
        <f t="shared" si="69"/>
        <v>3571</v>
      </c>
      <c r="G820" s="1">
        <f t="shared" si="65"/>
        <v>569000</v>
      </c>
      <c r="H820" s="2">
        <f t="shared" si="66"/>
        <v>164</v>
      </c>
      <c r="I820" s="2">
        <f t="shared" si="67"/>
        <v>8</v>
      </c>
      <c r="J820">
        <f t="shared" si="68"/>
        <v>81</v>
      </c>
    </row>
    <row r="821" spans="1:10" x14ac:dyDescent="0.2">
      <c r="A821" t="s">
        <v>2566</v>
      </c>
      <c r="B821" t="s">
        <v>524</v>
      </c>
      <c r="C821" t="s">
        <v>2567</v>
      </c>
      <c r="D821" t="s">
        <v>278</v>
      </c>
      <c r="E821" t="s">
        <v>2568</v>
      </c>
      <c r="F821" s="2">
        <f t="shared" si="69"/>
        <v>3566</v>
      </c>
      <c r="G821" s="1">
        <f t="shared" si="65"/>
        <v>725000</v>
      </c>
      <c r="H821" s="2">
        <f t="shared" si="66"/>
        <v>164</v>
      </c>
      <c r="I821" s="2">
        <f t="shared" si="67"/>
        <v>8</v>
      </c>
      <c r="J821">
        <f t="shared" si="68"/>
        <v>2425</v>
      </c>
    </row>
    <row r="822" spans="1:10" x14ac:dyDescent="0.2">
      <c r="A822" t="s">
        <v>1840</v>
      </c>
      <c r="B822" t="s">
        <v>264</v>
      </c>
      <c r="C822" t="s">
        <v>1841</v>
      </c>
      <c r="D822" t="s">
        <v>510</v>
      </c>
      <c r="E822" t="s">
        <v>1842</v>
      </c>
      <c r="F822" s="2">
        <f t="shared" si="69"/>
        <v>3582</v>
      </c>
      <c r="G822" s="1">
        <f t="shared" si="65"/>
        <v>895000</v>
      </c>
      <c r="H822" s="2">
        <f t="shared" si="66"/>
        <v>165</v>
      </c>
      <c r="I822" s="2">
        <f t="shared" si="67"/>
        <v>8</v>
      </c>
      <c r="J822">
        <f t="shared" si="68"/>
        <v>170</v>
      </c>
    </row>
    <row r="823" spans="1:10" x14ac:dyDescent="0.2">
      <c r="A823" t="s">
        <v>2418</v>
      </c>
      <c r="B823" t="s">
        <v>152</v>
      </c>
      <c r="C823" t="s">
        <v>2419</v>
      </c>
      <c r="D823" t="s">
        <v>987</v>
      </c>
      <c r="E823" t="s">
        <v>2420</v>
      </c>
      <c r="F823" s="2">
        <f t="shared" si="69"/>
        <v>3572</v>
      </c>
      <c r="G823" s="1">
        <f t="shared" si="65"/>
        <v>849000</v>
      </c>
      <c r="H823" s="2">
        <f t="shared" si="66"/>
        <v>165</v>
      </c>
      <c r="I823" s="2">
        <f t="shared" si="67"/>
        <v>0</v>
      </c>
      <c r="J823">
        <f t="shared" si="68"/>
        <v>0</v>
      </c>
    </row>
    <row r="824" spans="1:10" x14ac:dyDescent="0.2">
      <c r="A824" t="s">
        <v>2450</v>
      </c>
      <c r="B824" t="s">
        <v>350</v>
      </c>
      <c r="C824" t="s">
        <v>2451</v>
      </c>
      <c r="D824" t="s">
        <v>2452</v>
      </c>
      <c r="E824" t="s">
        <v>2453</v>
      </c>
      <c r="F824" s="2">
        <f t="shared" si="69"/>
        <v>3541</v>
      </c>
      <c r="G824" s="1">
        <f t="shared" si="65"/>
        <v>799500</v>
      </c>
      <c r="H824" s="2">
        <f t="shared" si="66"/>
        <v>166</v>
      </c>
      <c r="I824" s="2">
        <f t="shared" si="67"/>
        <v>0</v>
      </c>
      <c r="J824">
        <f t="shared" si="68"/>
        <v>0</v>
      </c>
    </row>
    <row r="825" spans="1:10" x14ac:dyDescent="0.2">
      <c r="A825" t="s">
        <v>2526</v>
      </c>
      <c r="B825" t="s">
        <v>152</v>
      </c>
      <c r="C825" t="s">
        <v>2527</v>
      </c>
      <c r="D825" t="s">
        <v>987</v>
      </c>
      <c r="E825" t="s">
        <v>2453</v>
      </c>
      <c r="F825" s="2">
        <f t="shared" si="69"/>
        <v>3514</v>
      </c>
      <c r="G825" s="1">
        <f t="shared" si="65"/>
        <v>849000</v>
      </c>
      <c r="H825" s="2">
        <f t="shared" si="66"/>
        <v>166</v>
      </c>
      <c r="I825" s="2">
        <f t="shared" si="67"/>
        <v>0</v>
      </c>
      <c r="J825">
        <f t="shared" si="68"/>
        <v>0</v>
      </c>
    </row>
    <row r="826" spans="1:10" x14ac:dyDescent="0.2">
      <c r="A826" t="s">
        <v>73</v>
      </c>
      <c r="B826" t="s">
        <v>74</v>
      </c>
      <c r="C826" t="s">
        <v>75</v>
      </c>
      <c r="D826" t="s">
        <v>76</v>
      </c>
      <c r="E826" t="s">
        <v>77</v>
      </c>
      <c r="F826" s="2">
        <f t="shared" si="69"/>
        <v>3584</v>
      </c>
      <c r="G826" s="1">
        <f t="shared" si="65"/>
        <v>650000</v>
      </c>
      <c r="H826" s="2">
        <f t="shared" si="66"/>
        <v>167</v>
      </c>
      <c r="I826" s="2">
        <f t="shared" si="67"/>
        <v>8</v>
      </c>
      <c r="J826">
        <f t="shared" si="68"/>
        <v>184</v>
      </c>
    </row>
    <row r="827" spans="1:10" x14ac:dyDescent="0.2">
      <c r="A827" t="s">
        <v>1619</v>
      </c>
      <c r="B827" t="s">
        <v>45</v>
      </c>
      <c r="C827" t="s">
        <v>1620</v>
      </c>
      <c r="D827" t="s">
        <v>1621</v>
      </c>
      <c r="E827" t="s">
        <v>1622</v>
      </c>
      <c r="F827" s="2">
        <f t="shared" ref="F827:F836" si="70">VALUE(LEFT(RIGHT(C827,15),4))</f>
        <v>3513</v>
      </c>
      <c r="G827" s="1">
        <f t="shared" si="65"/>
        <v>649000</v>
      </c>
      <c r="H827" s="2">
        <f t="shared" si="66"/>
        <v>167</v>
      </c>
      <c r="I827" s="2">
        <f t="shared" si="67"/>
        <v>0</v>
      </c>
      <c r="J827">
        <f t="shared" si="68"/>
        <v>0</v>
      </c>
    </row>
    <row r="828" spans="1:10" x14ac:dyDescent="0.2">
      <c r="A828" t="s">
        <v>1741</v>
      </c>
      <c r="B828" t="s">
        <v>240</v>
      </c>
      <c r="C828" t="s">
        <v>1742</v>
      </c>
      <c r="D828" t="s">
        <v>1743</v>
      </c>
      <c r="E828" t="s">
        <v>1744</v>
      </c>
      <c r="F828" s="2">
        <f t="shared" si="70"/>
        <v>3514</v>
      </c>
      <c r="G828" s="1">
        <f t="shared" si="65"/>
        <v>670000</v>
      </c>
      <c r="H828" s="2">
        <f t="shared" si="66"/>
        <v>167</v>
      </c>
      <c r="I828" s="2">
        <f t="shared" si="67"/>
        <v>8</v>
      </c>
      <c r="J828">
        <f t="shared" si="68"/>
        <v>131</v>
      </c>
    </row>
    <row r="829" spans="1:10" x14ac:dyDescent="0.2">
      <c r="A829" t="s">
        <v>2923</v>
      </c>
      <c r="B829" t="s">
        <v>130</v>
      </c>
      <c r="C829" t="s">
        <v>2924</v>
      </c>
      <c r="D829" t="s">
        <v>808</v>
      </c>
      <c r="E829" t="s">
        <v>2925</v>
      </c>
      <c r="F829" s="2">
        <f t="shared" si="70"/>
        <v>3584</v>
      </c>
      <c r="G829" s="1">
        <f t="shared" si="65"/>
        <v>599000</v>
      </c>
      <c r="H829" s="2">
        <f t="shared" si="66"/>
        <v>167</v>
      </c>
      <c r="I829" s="2">
        <f t="shared" si="67"/>
        <v>8</v>
      </c>
      <c r="J829">
        <f t="shared" si="68"/>
        <v>175</v>
      </c>
    </row>
    <row r="830" spans="1:10" x14ac:dyDescent="0.2">
      <c r="A830" t="s">
        <v>239</v>
      </c>
      <c r="B830" t="s">
        <v>240</v>
      </c>
      <c r="C830" t="s">
        <v>241</v>
      </c>
      <c r="D830" t="s">
        <v>242</v>
      </c>
      <c r="E830" t="s">
        <v>243</v>
      </c>
      <c r="F830" s="2">
        <f t="shared" si="70"/>
        <v>3528</v>
      </c>
      <c r="G830" s="1">
        <f t="shared" si="65"/>
        <v>829000</v>
      </c>
      <c r="H830" s="2">
        <f t="shared" si="66"/>
        <v>168</v>
      </c>
      <c r="I830" s="2">
        <f t="shared" si="67"/>
        <v>0</v>
      </c>
      <c r="J830">
        <f t="shared" si="68"/>
        <v>0</v>
      </c>
    </row>
    <row r="831" spans="1:10" x14ac:dyDescent="0.2">
      <c r="A831" t="s">
        <v>301</v>
      </c>
      <c r="B831" t="s">
        <v>55</v>
      </c>
      <c r="C831" t="s">
        <v>302</v>
      </c>
      <c r="D831" t="s">
        <v>303</v>
      </c>
      <c r="E831" t="s">
        <v>304</v>
      </c>
      <c r="F831" s="2">
        <f t="shared" si="70"/>
        <v>3555</v>
      </c>
      <c r="G831" s="1">
        <f t="shared" si="65"/>
        <v>549000</v>
      </c>
      <c r="H831" s="2">
        <f t="shared" si="66"/>
        <v>168</v>
      </c>
      <c r="I831" s="2">
        <f t="shared" si="67"/>
        <v>8</v>
      </c>
      <c r="J831">
        <f t="shared" si="68"/>
        <v>225</v>
      </c>
    </row>
    <row r="832" spans="1:10" x14ac:dyDescent="0.2">
      <c r="A832" t="s">
        <v>1286</v>
      </c>
      <c r="B832" t="s">
        <v>102</v>
      </c>
      <c r="C832" t="s">
        <v>1287</v>
      </c>
      <c r="D832" t="s">
        <v>1288</v>
      </c>
      <c r="E832" t="s">
        <v>1289</v>
      </c>
      <c r="F832" s="2">
        <f t="shared" si="70"/>
        <v>3512</v>
      </c>
      <c r="G832" s="1">
        <f t="shared" si="65"/>
        <v>1290000</v>
      </c>
      <c r="H832" s="2">
        <f t="shared" si="66"/>
        <v>168</v>
      </c>
      <c r="I832" s="2">
        <f t="shared" si="67"/>
        <v>8</v>
      </c>
      <c r="J832">
        <f t="shared" si="68"/>
        <v>84</v>
      </c>
    </row>
    <row r="833" spans="1:10" x14ac:dyDescent="0.2">
      <c r="A833" t="s">
        <v>2822</v>
      </c>
      <c r="B833" t="s">
        <v>115</v>
      </c>
      <c r="C833" t="s">
        <v>2823</v>
      </c>
      <c r="D833" t="s">
        <v>278</v>
      </c>
      <c r="E833" t="s">
        <v>2824</v>
      </c>
      <c r="F833" s="2">
        <f t="shared" si="70"/>
        <v>3543</v>
      </c>
      <c r="G833" s="1">
        <f t="shared" si="65"/>
        <v>725000</v>
      </c>
      <c r="H833" s="2">
        <f t="shared" si="66"/>
        <v>169</v>
      </c>
      <c r="I833" s="2">
        <f t="shared" si="67"/>
        <v>8</v>
      </c>
      <c r="J833">
        <f t="shared" si="68"/>
        <v>396</v>
      </c>
    </row>
    <row r="834" spans="1:10" x14ac:dyDescent="0.2">
      <c r="A834" t="s">
        <v>816</v>
      </c>
      <c r="B834" t="s">
        <v>209</v>
      </c>
      <c r="C834" t="s">
        <v>817</v>
      </c>
      <c r="D834" t="s">
        <v>818</v>
      </c>
      <c r="E834" t="s">
        <v>819</v>
      </c>
      <c r="F834" s="2">
        <f t="shared" si="70"/>
        <v>3544</v>
      </c>
      <c r="G834" s="1">
        <f t="shared" ref="G834:G897" si="71">VALUE(MID(D834,3,FIND(" ",D834,3)-3))</f>
        <v>539000</v>
      </c>
      <c r="H834" s="2">
        <f t="shared" ref="H834:H897" si="72">VALUE(LEFT(E834,FIND(" ",E834,1)-1))</f>
        <v>170</v>
      </c>
      <c r="I834" s="2">
        <f t="shared" ref="I834:I897" si="73">IFERROR(FIND("/",E834,1),0)</f>
        <v>8</v>
      </c>
      <c r="J834">
        <f t="shared" ref="J834:J897" si="74">IF(I834=0,0,VALUE(MID(E834,FIND("/",E834,1)+2,(FIND(" ",E834,FIND("/",E834,1)+2)-(FIND("/",E834,1))-1))))</f>
        <v>175</v>
      </c>
    </row>
    <row r="835" spans="1:10" x14ac:dyDescent="0.2">
      <c r="A835" t="s">
        <v>1593</v>
      </c>
      <c r="B835" t="s">
        <v>377</v>
      </c>
      <c r="C835" t="s">
        <v>1594</v>
      </c>
      <c r="D835" t="s">
        <v>1595</v>
      </c>
      <c r="E835" t="s">
        <v>1596</v>
      </c>
      <c r="F835" s="2">
        <f t="shared" si="70"/>
        <v>3583</v>
      </c>
      <c r="G835" s="1">
        <f t="shared" si="71"/>
        <v>789000</v>
      </c>
      <c r="H835" s="2">
        <f t="shared" si="72"/>
        <v>170</v>
      </c>
      <c r="I835" s="2">
        <f t="shared" si="73"/>
        <v>8</v>
      </c>
      <c r="J835">
        <f t="shared" si="74"/>
        <v>132</v>
      </c>
    </row>
    <row r="836" spans="1:10" x14ac:dyDescent="0.2">
      <c r="A836" t="s">
        <v>1604</v>
      </c>
      <c r="B836" t="s">
        <v>92</v>
      </c>
      <c r="C836" t="s">
        <v>1605</v>
      </c>
      <c r="D836" t="s">
        <v>1606</v>
      </c>
      <c r="E836" t="s">
        <v>1607</v>
      </c>
      <c r="F836" s="2">
        <f t="shared" si="70"/>
        <v>3533</v>
      </c>
      <c r="G836" s="1">
        <f t="shared" si="71"/>
        <v>669000</v>
      </c>
      <c r="H836" s="2">
        <f t="shared" si="72"/>
        <v>170</v>
      </c>
      <c r="I836" s="2">
        <f t="shared" si="73"/>
        <v>0</v>
      </c>
      <c r="J836">
        <f t="shared" si="74"/>
        <v>0</v>
      </c>
    </row>
    <row r="837" spans="1:10" x14ac:dyDescent="0.2">
      <c r="A837" t="s">
        <v>1753</v>
      </c>
      <c r="B837" t="s">
        <v>21</v>
      </c>
      <c r="C837" t="s">
        <v>1754</v>
      </c>
      <c r="D837" t="s">
        <v>1755</v>
      </c>
      <c r="E837" t="s">
        <v>1756</v>
      </c>
      <c r="F837" s="2">
        <v>3541</v>
      </c>
      <c r="G837" s="1">
        <f t="shared" si="71"/>
        <v>800000</v>
      </c>
      <c r="H837" s="2">
        <f t="shared" si="72"/>
        <v>170</v>
      </c>
      <c r="I837" s="2">
        <f t="shared" si="73"/>
        <v>0</v>
      </c>
      <c r="J837">
        <f t="shared" si="74"/>
        <v>0</v>
      </c>
    </row>
    <row r="838" spans="1:10" x14ac:dyDescent="0.2">
      <c r="A838" t="s">
        <v>2211</v>
      </c>
      <c r="B838" t="s">
        <v>21</v>
      </c>
      <c r="C838" t="s">
        <v>2212</v>
      </c>
      <c r="D838" t="s">
        <v>1375</v>
      </c>
      <c r="E838" t="s">
        <v>2213</v>
      </c>
      <c r="F838" s="2">
        <f t="shared" ref="F838:F863" si="75">VALUE(LEFT(RIGHT(C838,15),4))</f>
        <v>3581</v>
      </c>
      <c r="G838" s="1">
        <f t="shared" si="71"/>
        <v>749000</v>
      </c>
      <c r="H838" s="2">
        <f t="shared" si="72"/>
        <v>170</v>
      </c>
      <c r="I838" s="2">
        <f t="shared" si="73"/>
        <v>8</v>
      </c>
      <c r="J838">
        <f t="shared" si="74"/>
        <v>78</v>
      </c>
    </row>
    <row r="839" spans="1:10" x14ac:dyDescent="0.2">
      <c r="A839" t="s">
        <v>2608</v>
      </c>
      <c r="B839" t="s">
        <v>102</v>
      </c>
      <c r="C839" t="s">
        <v>2609</v>
      </c>
      <c r="D839" t="s">
        <v>733</v>
      </c>
      <c r="E839" t="s">
        <v>2610</v>
      </c>
      <c r="F839" s="2">
        <f t="shared" si="75"/>
        <v>3555</v>
      </c>
      <c r="G839" s="1">
        <f t="shared" si="71"/>
        <v>549500</v>
      </c>
      <c r="H839" s="2">
        <f t="shared" si="72"/>
        <v>170</v>
      </c>
      <c r="I839" s="2">
        <f t="shared" si="73"/>
        <v>8</v>
      </c>
      <c r="J839">
        <f t="shared" si="74"/>
        <v>280</v>
      </c>
    </row>
    <row r="840" spans="1:10" x14ac:dyDescent="0.2">
      <c r="A840" t="s">
        <v>142</v>
      </c>
      <c r="B840" t="s">
        <v>143</v>
      </c>
      <c r="C840" t="s">
        <v>144</v>
      </c>
      <c r="D840" t="s">
        <v>145</v>
      </c>
      <c r="E840" t="s">
        <v>146</v>
      </c>
      <c r="F840" s="2">
        <f t="shared" si="75"/>
        <v>3532</v>
      </c>
      <c r="G840" s="1">
        <f t="shared" si="71"/>
        <v>589000</v>
      </c>
      <c r="H840" s="2">
        <f t="shared" si="72"/>
        <v>171</v>
      </c>
      <c r="I840" s="2">
        <f t="shared" si="73"/>
        <v>0</v>
      </c>
      <c r="J840">
        <f t="shared" si="74"/>
        <v>0</v>
      </c>
    </row>
    <row r="841" spans="1:10" x14ac:dyDescent="0.2">
      <c r="A841" t="s">
        <v>2249</v>
      </c>
      <c r="B841" t="s">
        <v>6</v>
      </c>
      <c r="C841" t="s">
        <v>2250</v>
      </c>
      <c r="D841" t="s">
        <v>42</v>
      </c>
      <c r="E841" t="s">
        <v>2251</v>
      </c>
      <c r="F841" s="2">
        <f t="shared" si="75"/>
        <v>3521</v>
      </c>
      <c r="G841" s="1">
        <f t="shared" si="71"/>
        <v>550000</v>
      </c>
      <c r="H841" s="2">
        <f t="shared" si="72"/>
        <v>171</v>
      </c>
      <c r="I841" s="2">
        <f t="shared" si="73"/>
        <v>8</v>
      </c>
      <c r="J841">
        <f t="shared" si="74"/>
        <v>123</v>
      </c>
    </row>
    <row r="842" spans="1:10" x14ac:dyDescent="0.2">
      <c r="A842" t="s">
        <v>985</v>
      </c>
      <c r="B842" t="s">
        <v>377</v>
      </c>
      <c r="C842" t="s">
        <v>986</v>
      </c>
      <c r="D842" t="s">
        <v>987</v>
      </c>
      <c r="E842" t="s">
        <v>988</v>
      </c>
      <c r="F842" s="2">
        <f t="shared" si="75"/>
        <v>3581</v>
      </c>
      <c r="G842" s="1">
        <f t="shared" si="71"/>
        <v>849000</v>
      </c>
      <c r="H842" s="2">
        <f t="shared" si="72"/>
        <v>172</v>
      </c>
      <c r="I842" s="2">
        <f t="shared" si="73"/>
        <v>0</v>
      </c>
      <c r="J842">
        <f t="shared" si="74"/>
        <v>0</v>
      </c>
    </row>
    <row r="843" spans="1:10" x14ac:dyDescent="0.2">
      <c r="A843" t="s">
        <v>2176</v>
      </c>
      <c r="B843" t="s">
        <v>240</v>
      </c>
      <c r="C843" t="s">
        <v>2177</v>
      </c>
      <c r="D843" t="s">
        <v>2178</v>
      </c>
      <c r="E843" t="s">
        <v>2179</v>
      </c>
      <c r="F843" s="2">
        <f t="shared" si="75"/>
        <v>3528</v>
      </c>
      <c r="G843" s="1">
        <f t="shared" si="71"/>
        <v>559000</v>
      </c>
      <c r="H843" s="2">
        <f t="shared" si="72"/>
        <v>172</v>
      </c>
      <c r="I843" s="2">
        <f t="shared" si="73"/>
        <v>0</v>
      </c>
      <c r="J843">
        <f t="shared" si="74"/>
        <v>0</v>
      </c>
    </row>
    <row r="844" spans="1:10" x14ac:dyDescent="0.2">
      <c r="A844" t="s">
        <v>2272</v>
      </c>
      <c r="B844" t="s">
        <v>513</v>
      </c>
      <c r="C844" t="s">
        <v>2273</v>
      </c>
      <c r="D844" t="s">
        <v>855</v>
      </c>
      <c r="E844" t="s">
        <v>2274</v>
      </c>
      <c r="F844" s="2">
        <f t="shared" si="75"/>
        <v>3544</v>
      </c>
      <c r="G844" s="1">
        <f t="shared" si="71"/>
        <v>495000</v>
      </c>
      <c r="H844" s="2">
        <f t="shared" si="72"/>
        <v>172</v>
      </c>
      <c r="I844" s="2">
        <f t="shared" si="73"/>
        <v>8</v>
      </c>
      <c r="J844">
        <f t="shared" si="74"/>
        <v>172</v>
      </c>
    </row>
    <row r="845" spans="1:10" x14ac:dyDescent="0.2">
      <c r="A845" t="s">
        <v>2521</v>
      </c>
      <c r="B845" t="s">
        <v>60</v>
      </c>
      <c r="C845" t="s">
        <v>2522</v>
      </c>
      <c r="D845" t="s">
        <v>499</v>
      </c>
      <c r="E845" t="s">
        <v>2523</v>
      </c>
      <c r="F845" s="2">
        <f t="shared" si="75"/>
        <v>3533</v>
      </c>
      <c r="G845" s="1">
        <f t="shared" si="71"/>
        <v>750000</v>
      </c>
      <c r="H845" s="2">
        <f t="shared" si="72"/>
        <v>172</v>
      </c>
      <c r="I845" s="2">
        <f t="shared" si="73"/>
        <v>8</v>
      </c>
      <c r="J845">
        <f t="shared" si="74"/>
        <v>252</v>
      </c>
    </row>
    <row r="846" spans="1:10" x14ac:dyDescent="0.2">
      <c r="A846" t="s">
        <v>208</v>
      </c>
      <c r="B846" t="s">
        <v>209</v>
      </c>
      <c r="C846" t="s">
        <v>210</v>
      </c>
      <c r="D846" t="s">
        <v>211</v>
      </c>
      <c r="E846" t="s">
        <v>212</v>
      </c>
      <c r="F846" s="2">
        <f t="shared" si="75"/>
        <v>3533</v>
      </c>
      <c r="G846" s="1">
        <f t="shared" si="71"/>
        <v>695000</v>
      </c>
      <c r="H846" s="2">
        <f t="shared" si="72"/>
        <v>175</v>
      </c>
      <c r="I846" s="2">
        <f t="shared" si="73"/>
        <v>8</v>
      </c>
      <c r="J846">
        <f t="shared" si="74"/>
        <v>227</v>
      </c>
    </row>
    <row r="847" spans="1:10" x14ac:dyDescent="0.2">
      <c r="A847" t="s">
        <v>2693</v>
      </c>
      <c r="B847" t="s">
        <v>187</v>
      </c>
      <c r="C847" t="s">
        <v>2694</v>
      </c>
      <c r="D847" t="s">
        <v>835</v>
      </c>
      <c r="E847" t="s">
        <v>2695</v>
      </c>
      <c r="F847" s="2">
        <f t="shared" si="75"/>
        <v>3512</v>
      </c>
      <c r="G847" s="1">
        <f t="shared" si="71"/>
        <v>1200000</v>
      </c>
      <c r="H847" s="2">
        <f t="shared" si="72"/>
        <v>175</v>
      </c>
      <c r="I847" s="2">
        <f t="shared" si="73"/>
        <v>0</v>
      </c>
      <c r="J847">
        <f t="shared" si="74"/>
        <v>0</v>
      </c>
    </row>
    <row r="848" spans="1:10" x14ac:dyDescent="0.2">
      <c r="A848" t="s">
        <v>2493</v>
      </c>
      <c r="B848" t="s">
        <v>92</v>
      </c>
      <c r="C848" t="s">
        <v>2494</v>
      </c>
      <c r="D848" t="s">
        <v>2495</v>
      </c>
      <c r="E848" t="s">
        <v>2496</v>
      </c>
      <c r="F848" s="2">
        <f t="shared" si="75"/>
        <v>3545</v>
      </c>
      <c r="G848" s="1">
        <f t="shared" si="71"/>
        <v>676000</v>
      </c>
      <c r="H848" s="2">
        <f t="shared" si="72"/>
        <v>176</v>
      </c>
      <c r="I848" s="2">
        <f t="shared" si="73"/>
        <v>0</v>
      </c>
      <c r="J848">
        <f t="shared" si="74"/>
        <v>0</v>
      </c>
    </row>
    <row r="849" spans="1:10" x14ac:dyDescent="0.2">
      <c r="A849" t="s">
        <v>119</v>
      </c>
      <c r="B849" t="s">
        <v>120</v>
      </c>
      <c r="C849" t="s">
        <v>121</v>
      </c>
      <c r="D849" t="s">
        <v>122</v>
      </c>
      <c r="E849" t="s">
        <v>123</v>
      </c>
      <c r="F849" s="2">
        <f t="shared" si="75"/>
        <v>3511</v>
      </c>
      <c r="G849" s="1">
        <f t="shared" si="71"/>
        <v>1249000</v>
      </c>
      <c r="H849" s="2">
        <f t="shared" si="72"/>
        <v>177</v>
      </c>
      <c r="I849" s="2">
        <f t="shared" si="73"/>
        <v>8</v>
      </c>
      <c r="J849">
        <f t="shared" si="74"/>
        <v>244</v>
      </c>
    </row>
    <row r="850" spans="1:10" x14ac:dyDescent="0.2">
      <c r="A850" t="s">
        <v>276</v>
      </c>
      <c r="B850" t="s">
        <v>60</v>
      </c>
      <c r="C850" t="s">
        <v>277</v>
      </c>
      <c r="D850" t="s">
        <v>278</v>
      </c>
      <c r="E850" t="s">
        <v>279</v>
      </c>
      <c r="F850" s="2">
        <f t="shared" si="75"/>
        <v>3533</v>
      </c>
      <c r="G850" s="1">
        <f t="shared" si="71"/>
        <v>725000</v>
      </c>
      <c r="H850" s="2">
        <f t="shared" si="72"/>
        <v>177</v>
      </c>
      <c r="I850" s="2">
        <f t="shared" si="73"/>
        <v>8</v>
      </c>
      <c r="J850">
        <f t="shared" si="74"/>
        <v>216</v>
      </c>
    </row>
    <row r="851" spans="1:10" x14ac:dyDescent="0.2">
      <c r="A851" t="s">
        <v>473</v>
      </c>
      <c r="B851" t="s">
        <v>26</v>
      </c>
      <c r="C851" t="s">
        <v>474</v>
      </c>
      <c r="D851" t="s">
        <v>475</v>
      </c>
      <c r="E851" t="s">
        <v>476</v>
      </c>
      <c r="F851" s="2">
        <f t="shared" si="75"/>
        <v>3526</v>
      </c>
      <c r="G851" s="1">
        <f t="shared" si="71"/>
        <v>660000</v>
      </c>
      <c r="H851" s="2">
        <f t="shared" si="72"/>
        <v>177</v>
      </c>
      <c r="I851" s="2">
        <f t="shared" si="73"/>
        <v>8</v>
      </c>
      <c r="J851">
        <f t="shared" si="74"/>
        <v>296</v>
      </c>
    </row>
    <row r="852" spans="1:10" x14ac:dyDescent="0.2">
      <c r="A852" t="s">
        <v>2238</v>
      </c>
      <c r="B852" t="s">
        <v>21</v>
      </c>
      <c r="C852" t="s">
        <v>2239</v>
      </c>
      <c r="D852" t="s">
        <v>1064</v>
      </c>
      <c r="E852" t="s">
        <v>2240</v>
      </c>
      <c r="F852" s="2">
        <f t="shared" si="75"/>
        <v>3581</v>
      </c>
      <c r="G852" s="1">
        <f t="shared" si="71"/>
        <v>975000</v>
      </c>
      <c r="H852" s="2">
        <f t="shared" si="72"/>
        <v>177</v>
      </c>
      <c r="I852" s="2">
        <f t="shared" si="73"/>
        <v>8</v>
      </c>
      <c r="J852">
        <f t="shared" si="74"/>
        <v>155</v>
      </c>
    </row>
    <row r="853" spans="1:10" x14ac:dyDescent="0.2">
      <c r="A853" t="s">
        <v>646</v>
      </c>
      <c r="B853" t="s">
        <v>92</v>
      </c>
      <c r="C853" t="s">
        <v>647</v>
      </c>
      <c r="D853" t="s">
        <v>648</v>
      </c>
      <c r="E853" t="s">
        <v>649</v>
      </c>
      <c r="F853" s="2">
        <f t="shared" si="75"/>
        <v>3545</v>
      </c>
      <c r="G853" s="1">
        <f t="shared" si="71"/>
        <v>645000</v>
      </c>
      <c r="H853" s="2">
        <f t="shared" si="72"/>
        <v>178</v>
      </c>
      <c r="I853" s="2">
        <f t="shared" si="73"/>
        <v>0</v>
      </c>
      <c r="J853">
        <f t="shared" si="74"/>
        <v>0</v>
      </c>
    </row>
    <row r="854" spans="1:10" x14ac:dyDescent="0.2">
      <c r="A854" t="s">
        <v>660</v>
      </c>
      <c r="B854" t="s">
        <v>60</v>
      </c>
      <c r="C854" t="s">
        <v>661</v>
      </c>
      <c r="D854" t="s">
        <v>662</v>
      </c>
      <c r="E854" t="s">
        <v>663</v>
      </c>
      <c r="F854" s="2">
        <f t="shared" si="75"/>
        <v>3544</v>
      </c>
      <c r="G854" s="1">
        <f t="shared" si="71"/>
        <v>600000</v>
      </c>
      <c r="H854" s="2">
        <f t="shared" si="72"/>
        <v>178</v>
      </c>
      <c r="I854" s="2">
        <f t="shared" si="73"/>
        <v>8</v>
      </c>
      <c r="J854">
        <f t="shared" si="74"/>
        <v>225</v>
      </c>
    </row>
    <row r="855" spans="1:10" x14ac:dyDescent="0.2">
      <c r="A855" t="s">
        <v>2401</v>
      </c>
      <c r="B855" t="s">
        <v>120</v>
      </c>
      <c r="C855" t="s">
        <v>2402</v>
      </c>
      <c r="D855" t="s">
        <v>510</v>
      </c>
      <c r="E855" t="s">
        <v>2403</v>
      </c>
      <c r="F855" s="2">
        <f t="shared" si="75"/>
        <v>3544</v>
      </c>
      <c r="G855" s="1">
        <f t="shared" si="71"/>
        <v>895000</v>
      </c>
      <c r="H855" s="2">
        <f t="shared" si="72"/>
        <v>178</v>
      </c>
      <c r="I855" s="2">
        <f t="shared" si="73"/>
        <v>8</v>
      </c>
      <c r="J855">
        <f t="shared" si="74"/>
        <v>1300</v>
      </c>
    </row>
    <row r="856" spans="1:10" x14ac:dyDescent="0.2">
      <c r="A856" t="s">
        <v>2569</v>
      </c>
      <c r="B856" t="s">
        <v>6</v>
      </c>
      <c r="C856" t="s">
        <v>2570</v>
      </c>
      <c r="D856" t="s">
        <v>1375</v>
      </c>
      <c r="E856" t="s">
        <v>2571</v>
      </c>
      <c r="F856" s="2">
        <f t="shared" si="75"/>
        <v>3571</v>
      </c>
      <c r="G856" s="1">
        <f t="shared" si="71"/>
        <v>749000</v>
      </c>
      <c r="H856" s="2">
        <f t="shared" si="72"/>
        <v>180</v>
      </c>
      <c r="I856" s="2">
        <f t="shared" si="73"/>
        <v>8</v>
      </c>
      <c r="J856">
        <f t="shared" si="74"/>
        <v>159</v>
      </c>
    </row>
    <row r="857" spans="1:10" x14ac:dyDescent="0.2">
      <c r="A857" t="s">
        <v>2951</v>
      </c>
      <c r="B857" t="s">
        <v>355</v>
      </c>
      <c r="C857" t="s">
        <v>2952</v>
      </c>
      <c r="D857" t="s">
        <v>510</v>
      </c>
      <c r="E857" t="s">
        <v>2953</v>
      </c>
      <c r="F857" s="2">
        <f t="shared" si="75"/>
        <v>3512</v>
      </c>
      <c r="G857" s="1">
        <f t="shared" si="71"/>
        <v>895000</v>
      </c>
      <c r="H857" s="2">
        <f t="shared" si="72"/>
        <v>180</v>
      </c>
      <c r="I857" s="2">
        <f t="shared" si="73"/>
        <v>0</v>
      </c>
      <c r="J857">
        <f t="shared" si="74"/>
        <v>0</v>
      </c>
    </row>
    <row r="858" spans="1:10" x14ac:dyDescent="0.2">
      <c r="A858" t="s">
        <v>731</v>
      </c>
      <c r="B858" t="s">
        <v>84</v>
      </c>
      <c r="C858" t="s">
        <v>732</v>
      </c>
      <c r="D858" t="s">
        <v>733</v>
      </c>
      <c r="E858" t="s">
        <v>734</v>
      </c>
      <c r="F858" s="2">
        <f t="shared" si="75"/>
        <v>3585</v>
      </c>
      <c r="G858" s="1">
        <f t="shared" si="71"/>
        <v>549500</v>
      </c>
      <c r="H858" s="2">
        <f t="shared" si="72"/>
        <v>181</v>
      </c>
      <c r="I858" s="2">
        <f t="shared" si="73"/>
        <v>8</v>
      </c>
      <c r="J858">
        <f t="shared" si="74"/>
        <v>505</v>
      </c>
    </row>
    <row r="859" spans="1:10" x14ac:dyDescent="0.2">
      <c r="A859" t="s">
        <v>1028</v>
      </c>
      <c r="B859" t="s">
        <v>84</v>
      </c>
      <c r="C859" t="s">
        <v>1029</v>
      </c>
      <c r="D859" t="s">
        <v>987</v>
      </c>
      <c r="E859" t="s">
        <v>1030</v>
      </c>
      <c r="F859" s="2">
        <f t="shared" si="75"/>
        <v>3585</v>
      </c>
      <c r="G859" s="1">
        <f t="shared" si="71"/>
        <v>849000</v>
      </c>
      <c r="H859" s="2">
        <f t="shared" si="72"/>
        <v>181</v>
      </c>
      <c r="I859" s="2">
        <f t="shared" si="73"/>
        <v>8</v>
      </c>
      <c r="J859">
        <f t="shared" si="74"/>
        <v>1940</v>
      </c>
    </row>
    <row r="860" spans="1:10" x14ac:dyDescent="0.2">
      <c r="A860" t="s">
        <v>2611</v>
      </c>
      <c r="B860" t="s">
        <v>254</v>
      </c>
      <c r="C860" t="s">
        <v>2612</v>
      </c>
      <c r="D860" t="s">
        <v>804</v>
      </c>
      <c r="E860" t="s">
        <v>2613</v>
      </c>
      <c r="F860" s="2">
        <f t="shared" si="75"/>
        <v>3555</v>
      </c>
      <c r="G860" s="1">
        <f t="shared" si="71"/>
        <v>449000</v>
      </c>
      <c r="H860" s="2">
        <f t="shared" si="72"/>
        <v>181</v>
      </c>
      <c r="I860" s="2">
        <f t="shared" si="73"/>
        <v>8</v>
      </c>
      <c r="J860">
        <f t="shared" si="74"/>
        <v>57</v>
      </c>
    </row>
    <row r="861" spans="1:10" x14ac:dyDescent="0.2">
      <c r="A861" t="s">
        <v>1322</v>
      </c>
      <c r="B861" t="s">
        <v>187</v>
      </c>
      <c r="C861" t="s">
        <v>1323</v>
      </c>
      <c r="D861" t="s">
        <v>808</v>
      </c>
      <c r="E861" t="s">
        <v>1324</v>
      </c>
      <c r="F861" s="2">
        <f t="shared" si="75"/>
        <v>3533</v>
      </c>
      <c r="G861" s="1">
        <f t="shared" si="71"/>
        <v>599000</v>
      </c>
      <c r="H861" s="2">
        <f t="shared" si="72"/>
        <v>182</v>
      </c>
      <c r="I861" s="2">
        <f t="shared" si="73"/>
        <v>8</v>
      </c>
      <c r="J861">
        <f t="shared" si="74"/>
        <v>150</v>
      </c>
    </row>
    <row r="862" spans="1:10" x14ac:dyDescent="0.2">
      <c r="A862" t="s">
        <v>1714</v>
      </c>
      <c r="B862" t="s">
        <v>92</v>
      </c>
      <c r="C862" t="s">
        <v>1715</v>
      </c>
      <c r="D862" t="s">
        <v>1716</v>
      </c>
      <c r="E862" t="s">
        <v>1717</v>
      </c>
      <c r="F862" s="2">
        <f t="shared" si="75"/>
        <v>3533</v>
      </c>
      <c r="G862" s="1">
        <f t="shared" si="71"/>
        <v>729000</v>
      </c>
      <c r="H862" s="2">
        <f t="shared" si="72"/>
        <v>182</v>
      </c>
      <c r="I862" s="2">
        <f t="shared" si="73"/>
        <v>0</v>
      </c>
      <c r="J862">
        <f t="shared" si="74"/>
        <v>0</v>
      </c>
    </row>
    <row r="863" spans="1:10" x14ac:dyDescent="0.2">
      <c r="A863" t="s">
        <v>2539</v>
      </c>
      <c r="B863" t="s">
        <v>45</v>
      </c>
      <c r="C863" t="s">
        <v>2540</v>
      </c>
      <c r="D863" t="s">
        <v>23</v>
      </c>
      <c r="E863" t="s">
        <v>2541</v>
      </c>
      <c r="F863" s="2">
        <f t="shared" si="75"/>
        <v>3583</v>
      </c>
      <c r="G863" s="1">
        <f t="shared" si="71"/>
        <v>875000</v>
      </c>
      <c r="H863" s="2">
        <f t="shared" si="72"/>
        <v>182</v>
      </c>
      <c r="I863" s="2">
        <f t="shared" si="73"/>
        <v>8</v>
      </c>
      <c r="J863">
        <f t="shared" si="74"/>
        <v>143</v>
      </c>
    </row>
    <row r="864" spans="1:10" x14ac:dyDescent="0.2">
      <c r="A864" t="s">
        <v>1790</v>
      </c>
      <c r="B864" t="s">
        <v>245</v>
      </c>
      <c r="C864" t="s">
        <v>1791</v>
      </c>
      <c r="D864" t="s">
        <v>1792</v>
      </c>
      <c r="E864" t="s">
        <v>1793</v>
      </c>
      <c r="F864" s="2">
        <v>3541</v>
      </c>
      <c r="G864" s="1">
        <f t="shared" si="71"/>
        <v>630000</v>
      </c>
      <c r="H864" s="2">
        <f t="shared" si="72"/>
        <v>183</v>
      </c>
      <c r="I864" s="2">
        <f t="shared" si="73"/>
        <v>0</v>
      </c>
      <c r="J864">
        <f t="shared" si="74"/>
        <v>0</v>
      </c>
    </row>
    <row r="865" spans="1:10" x14ac:dyDescent="0.2">
      <c r="A865" t="s">
        <v>2203</v>
      </c>
      <c r="B865" t="s">
        <v>229</v>
      </c>
      <c r="C865" t="s">
        <v>2204</v>
      </c>
      <c r="D865" t="s">
        <v>23</v>
      </c>
      <c r="E865" t="s">
        <v>1793</v>
      </c>
      <c r="F865" s="2">
        <f t="shared" ref="F865:F899" si="76">VALUE(LEFT(RIGHT(C865,15),4))</f>
        <v>3572</v>
      </c>
      <c r="G865" s="1">
        <f t="shared" si="71"/>
        <v>875000</v>
      </c>
      <c r="H865" s="2">
        <f t="shared" si="72"/>
        <v>183</v>
      </c>
      <c r="I865" s="2">
        <f t="shared" si="73"/>
        <v>0</v>
      </c>
      <c r="J865">
        <f t="shared" si="74"/>
        <v>0</v>
      </c>
    </row>
    <row r="866" spans="1:10" x14ac:dyDescent="0.2">
      <c r="A866" t="s">
        <v>844</v>
      </c>
      <c r="B866" t="s">
        <v>175</v>
      </c>
      <c r="C866" t="s">
        <v>845</v>
      </c>
      <c r="D866" t="s">
        <v>846</v>
      </c>
      <c r="E866" t="s">
        <v>847</v>
      </c>
      <c r="F866" s="2">
        <f t="shared" si="76"/>
        <v>3581</v>
      </c>
      <c r="G866" s="1">
        <f t="shared" si="71"/>
        <v>850000</v>
      </c>
      <c r="H866" s="2">
        <f t="shared" si="72"/>
        <v>184</v>
      </c>
      <c r="I866" s="2">
        <f t="shared" si="73"/>
        <v>8</v>
      </c>
      <c r="J866">
        <f t="shared" si="74"/>
        <v>129</v>
      </c>
    </row>
    <row r="867" spans="1:10" x14ac:dyDescent="0.2">
      <c r="A867" t="s">
        <v>979</v>
      </c>
      <c r="B867" t="s">
        <v>74</v>
      </c>
      <c r="C867" t="s">
        <v>980</v>
      </c>
      <c r="D867" t="s">
        <v>981</v>
      </c>
      <c r="E867" t="s">
        <v>982</v>
      </c>
      <c r="F867" s="2">
        <f t="shared" si="76"/>
        <v>3521</v>
      </c>
      <c r="G867" s="1">
        <f t="shared" si="71"/>
        <v>799000</v>
      </c>
      <c r="H867" s="2">
        <f t="shared" si="72"/>
        <v>186</v>
      </c>
      <c r="I867" s="2">
        <f t="shared" si="73"/>
        <v>0</v>
      </c>
      <c r="J867">
        <f t="shared" si="74"/>
        <v>0</v>
      </c>
    </row>
    <row r="868" spans="1:10" x14ac:dyDescent="0.2">
      <c r="A868" t="s">
        <v>1638</v>
      </c>
      <c r="B868" t="s">
        <v>306</v>
      </c>
      <c r="C868" t="s">
        <v>1639</v>
      </c>
      <c r="D868" t="s">
        <v>18</v>
      </c>
      <c r="E868" t="s">
        <v>1640</v>
      </c>
      <c r="F868" s="2">
        <f t="shared" si="76"/>
        <v>3544</v>
      </c>
      <c r="G868" s="1">
        <f t="shared" si="71"/>
        <v>525000</v>
      </c>
      <c r="H868" s="2">
        <f t="shared" si="72"/>
        <v>189</v>
      </c>
      <c r="I868" s="2">
        <f t="shared" si="73"/>
        <v>8</v>
      </c>
      <c r="J868">
        <f t="shared" si="74"/>
        <v>226</v>
      </c>
    </row>
    <row r="869" spans="1:10" x14ac:dyDescent="0.2">
      <c r="A869" t="s">
        <v>1370</v>
      </c>
      <c r="B869" t="s">
        <v>64</v>
      </c>
      <c r="C869" t="s">
        <v>1371</v>
      </c>
      <c r="D869" t="s">
        <v>13</v>
      </c>
      <c r="E869" t="s">
        <v>1372</v>
      </c>
      <c r="F869" s="2">
        <f t="shared" si="76"/>
        <v>3543</v>
      </c>
      <c r="G869" s="1">
        <f t="shared" si="71"/>
        <v>450000</v>
      </c>
      <c r="H869" s="2">
        <f t="shared" si="72"/>
        <v>190</v>
      </c>
      <c r="I869" s="2">
        <f t="shared" si="73"/>
        <v>8</v>
      </c>
      <c r="J869">
        <f t="shared" si="74"/>
        <v>140</v>
      </c>
    </row>
    <row r="870" spans="1:10" x14ac:dyDescent="0.2">
      <c r="A870" t="s">
        <v>528</v>
      </c>
      <c r="B870" t="s">
        <v>148</v>
      </c>
      <c r="C870" t="s">
        <v>529</v>
      </c>
      <c r="D870" t="s">
        <v>530</v>
      </c>
      <c r="E870" t="s">
        <v>531</v>
      </c>
      <c r="F870" s="2">
        <f t="shared" si="76"/>
        <v>3584</v>
      </c>
      <c r="G870" s="1">
        <f t="shared" si="71"/>
        <v>1175000</v>
      </c>
      <c r="H870" s="2">
        <f t="shared" si="72"/>
        <v>191</v>
      </c>
      <c r="I870" s="2">
        <f t="shared" si="73"/>
        <v>8</v>
      </c>
      <c r="J870">
        <f t="shared" si="74"/>
        <v>301</v>
      </c>
    </row>
    <row r="871" spans="1:10" x14ac:dyDescent="0.2">
      <c r="A871" t="s">
        <v>1170</v>
      </c>
      <c r="B871" t="s">
        <v>102</v>
      </c>
      <c r="C871" t="s">
        <v>1171</v>
      </c>
      <c r="D871" t="s">
        <v>1172</v>
      </c>
      <c r="E871" t="s">
        <v>1173</v>
      </c>
      <c r="F871" s="2">
        <f t="shared" si="76"/>
        <v>3512</v>
      </c>
      <c r="G871" s="1">
        <f t="shared" si="71"/>
        <v>930000</v>
      </c>
      <c r="H871" s="2">
        <f t="shared" si="72"/>
        <v>191</v>
      </c>
      <c r="I871" s="2">
        <f t="shared" si="73"/>
        <v>0</v>
      </c>
      <c r="J871">
        <f t="shared" si="74"/>
        <v>0</v>
      </c>
    </row>
    <row r="872" spans="1:10" x14ac:dyDescent="0.2">
      <c r="A872" t="s">
        <v>932</v>
      </c>
      <c r="B872" t="s">
        <v>417</v>
      </c>
      <c r="C872" t="s">
        <v>933</v>
      </c>
      <c r="D872" t="s">
        <v>934</v>
      </c>
      <c r="E872" t="s">
        <v>935</v>
      </c>
      <c r="F872" s="2">
        <f t="shared" si="76"/>
        <v>3544</v>
      </c>
      <c r="G872" s="1">
        <f t="shared" si="71"/>
        <v>484500</v>
      </c>
      <c r="H872" s="2">
        <f t="shared" si="72"/>
        <v>193</v>
      </c>
      <c r="I872" s="2">
        <f t="shared" si="73"/>
        <v>8</v>
      </c>
      <c r="J872">
        <f t="shared" si="74"/>
        <v>188</v>
      </c>
    </row>
    <row r="873" spans="1:10" x14ac:dyDescent="0.2">
      <c r="A873" t="s">
        <v>2195</v>
      </c>
      <c r="B873" t="s">
        <v>187</v>
      </c>
      <c r="C873" t="s">
        <v>2196</v>
      </c>
      <c r="D873" t="s">
        <v>1375</v>
      </c>
      <c r="E873" t="s">
        <v>2197</v>
      </c>
      <c r="F873" s="2">
        <f t="shared" si="76"/>
        <v>3571</v>
      </c>
      <c r="G873" s="1">
        <f t="shared" si="71"/>
        <v>749000</v>
      </c>
      <c r="H873" s="2">
        <f t="shared" si="72"/>
        <v>193</v>
      </c>
      <c r="I873" s="2">
        <f t="shared" si="73"/>
        <v>8</v>
      </c>
      <c r="J873">
        <f t="shared" si="74"/>
        <v>148</v>
      </c>
    </row>
    <row r="874" spans="1:10" x14ac:dyDescent="0.2">
      <c r="A874" t="s">
        <v>221</v>
      </c>
      <c r="B874" t="s">
        <v>21</v>
      </c>
      <c r="C874" t="s">
        <v>222</v>
      </c>
      <c r="D874" t="s">
        <v>172</v>
      </c>
      <c r="E874" t="s">
        <v>223</v>
      </c>
      <c r="F874" s="2">
        <f t="shared" si="76"/>
        <v>3531</v>
      </c>
      <c r="G874" s="1">
        <f t="shared" si="71"/>
        <v>795000</v>
      </c>
      <c r="H874" s="2">
        <f t="shared" si="72"/>
        <v>194</v>
      </c>
      <c r="I874" s="2">
        <f t="shared" si="73"/>
        <v>8</v>
      </c>
      <c r="J874">
        <f t="shared" si="74"/>
        <v>101</v>
      </c>
    </row>
    <row r="875" spans="1:10" x14ac:dyDescent="0.2">
      <c r="A875" t="s">
        <v>1565</v>
      </c>
      <c r="B875" t="s">
        <v>69</v>
      </c>
      <c r="C875" t="s">
        <v>1566</v>
      </c>
      <c r="D875" t="s">
        <v>818</v>
      </c>
      <c r="E875" t="s">
        <v>1567</v>
      </c>
      <c r="F875" s="2">
        <f t="shared" si="76"/>
        <v>3543</v>
      </c>
      <c r="G875" s="1">
        <f t="shared" si="71"/>
        <v>539000</v>
      </c>
      <c r="H875" s="2">
        <f t="shared" si="72"/>
        <v>194</v>
      </c>
      <c r="I875" s="2">
        <f t="shared" si="73"/>
        <v>8</v>
      </c>
      <c r="J875">
        <f t="shared" si="74"/>
        <v>214</v>
      </c>
    </row>
    <row r="876" spans="1:10" x14ac:dyDescent="0.2">
      <c r="A876" t="s">
        <v>182</v>
      </c>
      <c r="B876" t="s">
        <v>143</v>
      </c>
      <c r="C876" t="s">
        <v>183</v>
      </c>
      <c r="D876" t="s">
        <v>184</v>
      </c>
      <c r="E876" t="s">
        <v>185</v>
      </c>
      <c r="F876" s="2">
        <f t="shared" si="76"/>
        <v>3581</v>
      </c>
      <c r="G876" s="1">
        <f t="shared" si="71"/>
        <v>885000</v>
      </c>
      <c r="H876" s="2">
        <f t="shared" si="72"/>
        <v>196</v>
      </c>
      <c r="I876" s="2">
        <f t="shared" si="73"/>
        <v>8</v>
      </c>
      <c r="J876">
        <f t="shared" si="74"/>
        <v>116</v>
      </c>
    </row>
    <row r="877" spans="1:10" x14ac:dyDescent="0.2">
      <c r="A877" t="s">
        <v>233</v>
      </c>
      <c r="B877" t="s">
        <v>16</v>
      </c>
      <c r="C877" t="s">
        <v>234</v>
      </c>
      <c r="D877" t="s">
        <v>23</v>
      </c>
      <c r="E877" t="s">
        <v>235</v>
      </c>
      <c r="F877" s="2">
        <f t="shared" si="76"/>
        <v>3572</v>
      </c>
      <c r="G877" s="1">
        <f t="shared" si="71"/>
        <v>875000</v>
      </c>
      <c r="H877" s="2">
        <f t="shared" si="72"/>
        <v>198</v>
      </c>
      <c r="I877" s="2">
        <f t="shared" si="73"/>
        <v>8</v>
      </c>
      <c r="J877">
        <f t="shared" si="74"/>
        <v>163</v>
      </c>
    </row>
    <row r="878" spans="1:10" x14ac:dyDescent="0.2">
      <c r="A878" t="s">
        <v>1013</v>
      </c>
      <c r="B878" t="s">
        <v>1014</v>
      </c>
      <c r="C878" t="s">
        <v>1015</v>
      </c>
      <c r="D878" t="s">
        <v>1016</v>
      </c>
      <c r="E878" t="s">
        <v>1017</v>
      </c>
      <c r="F878" s="2">
        <f t="shared" si="76"/>
        <v>3572</v>
      </c>
      <c r="G878" s="1">
        <f t="shared" si="71"/>
        <v>900000</v>
      </c>
      <c r="H878" s="2">
        <f t="shared" si="72"/>
        <v>199</v>
      </c>
      <c r="I878" s="2">
        <f t="shared" si="73"/>
        <v>0</v>
      </c>
      <c r="J878">
        <f t="shared" si="74"/>
        <v>0</v>
      </c>
    </row>
    <row r="879" spans="1:10" x14ac:dyDescent="0.2">
      <c r="A879" t="s">
        <v>769</v>
      </c>
      <c r="B879" t="s">
        <v>245</v>
      </c>
      <c r="C879" t="s">
        <v>770</v>
      </c>
      <c r="D879" t="s">
        <v>771</v>
      </c>
      <c r="E879" t="s">
        <v>772</v>
      </c>
      <c r="F879" s="2">
        <f t="shared" si="76"/>
        <v>3563</v>
      </c>
      <c r="G879" s="1">
        <f t="shared" si="71"/>
        <v>649000</v>
      </c>
      <c r="H879" s="2">
        <f t="shared" si="72"/>
        <v>200</v>
      </c>
      <c r="I879" s="2">
        <f t="shared" si="73"/>
        <v>0</v>
      </c>
      <c r="J879">
        <f t="shared" si="74"/>
        <v>0</v>
      </c>
    </row>
    <row r="880" spans="1:10" x14ac:dyDescent="0.2">
      <c r="A880" t="s">
        <v>1580</v>
      </c>
      <c r="B880" t="s">
        <v>74</v>
      </c>
      <c r="C880" t="s">
        <v>1581</v>
      </c>
      <c r="D880" t="s">
        <v>1582</v>
      </c>
      <c r="E880" t="s">
        <v>1583</v>
      </c>
      <c r="F880" s="2">
        <f t="shared" si="76"/>
        <v>3572</v>
      </c>
      <c r="G880" s="1">
        <f t="shared" si="71"/>
        <v>899000</v>
      </c>
      <c r="H880" s="2">
        <f t="shared" si="72"/>
        <v>201</v>
      </c>
      <c r="I880" s="2">
        <f t="shared" si="73"/>
        <v>8</v>
      </c>
      <c r="J880">
        <f t="shared" si="74"/>
        <v>120</v>
      </c>
    </row>
    <row r="881" spans="1:10" x14ac:dyDescent="0.2">
      <c r="A881" t="s">
        <v>2223</v>
      </c>
      <c r="B881" t="s">
        <v>502</v>
      </c>
      <c r="C881" t="s">
        <v>2224</v>
      </c>
      <c r="D881" t="s">
        <v>278</v>
      </c>
      <c r="E881" t="s">
        <v>2225</v>
      </c>
      <c r="F881" s="2">
        <f t="shared" si="76"/>
        <v>3514</v>
      </c>
      <c r="G881" s="1">
        <f t="shared" si="71"/>
        <v>725000</v>
      </c>
      <c r="H881" s="2">
        <f t="shared" si="72"/>
        <v>204</v>
      </c>
      <c r="I881" s="2">
        <f t="shared" si="73"/>
        <v>8</v>
      </c>
      <c r="J881">
        <f t="shared" si="74"/>
        <v>115</v>
      </c>
    </row>
    <row r="882" spans="1:10" x14ac:dyDescent="0.2">
      <c r="A882" t="s">
        <v>2220</v>
      </c>
      <c r="B882" t="s">
        <v>143</v>
      </c>
      <c r="C882" t="s">
        <v>2221</v>
      </c>
      <c r="D882" t="s">
        <v>1044</v>
      </c>
      <c r="E882" t="s">
        <v>2222</v>
      </c>
      <c r="F882" s="2">
        <f t="shared" si="76"/>
        <v>3573</v>
      </c>
      <c r="G882" s="1">
        <f t="shared" si="71"/>
        <v>699000</v>
      </c>
      <c r="H882" s="2">
        <f t="shared" si="72"/>
        <v>208</v>
      </c>
      <c r="I882" s="2">
        <f t="shared" si="73"/>
        <v>8</v>
      </c>
      <c r="J882">
        <f t="shared" si="74"/>
        <v>132</v>
      </c>
    </row>
    <row r="883" spans="1:10" x14ac:dyDescent="0.2">
      <c r="A883" t="s">
        <v>1806</v>
      </c>
      <c r="B883" t="s">
        <v>125</v>
      </c>
      <c r="C883" t="s">
        <v>1807</v>
      </c>
      <c r="D883" t="s">
        <v>1808</v>
      </c>
      <c r="E883" t="s">
        <v>1809</v>
      </c>
      <c r="F883" s="2">
        <f t="shared" si="76"/>
        <v>3512</v>
      </c>
      <c r="G883" s="1">
        <f t="shared" si="71"/>
        <v>995000</v>
      </c>
      <c r="H883" s="2">
        <f t="shared" si="72"/>
        <v>209</v>
      </c>
      <c r="I883" s="2">
        <f t="shared" si="73"/>
        <v>8</v>
      </c>
      <c r="J883">
        <f t="shared" si="74"/>
        <v>85</v>
      </c>
    </row>
    <row r="884" spans="1:10" x14ac:dyDescent="0.2">
      <c r="A884" t="s">
        <v>364</v>
      </c>
      <c r="B884" t="s">
        <v>187</v>
      </c>
      <c r="C884" t="s">
        <v>365</v>
      </c>
      <c r="D884" t="s">
        <v>366</v>
      </c>
      <c r="E884" t="s">
        <v>367</v>
      </c>
      <c r="F884" s="2">
        <f t="shared" si="76"/>
        <v>3583</v>
      </c>
      <c r="G884" s="1">
        <f t="shared" si="71"/>
        <v>1195000</v>
      </c>
      <c r="H884" s="2">
        <f t="shared" si="72"/>
        <v>211</v>
      </c>
      <c r="I884" s="2">
        <f t="shared" si="73"/>
        <v>8</v>
      </c>
      <c r="J884">
        <f t="shared" si="74"/>
        <v>199</v>
      </c>
    </row>
    <row r="885" spans="1:10" x14ac:dyDescent="0.2">
      <c r="A885" t="s">
        <v>1408</v>
      </c>
      <c r="B885" t="s">
        <v>26</v>
      </c>
      <c r="C885" t="s">
        <v>1409</v>
      </c>
      <c r="D885" t="s">
        <v>846</v>
      </c>
      <c r="E885" t="s">
        <v>1410</v>
      </c>
      <c r="F885" s="2">
        <f t="shared" si="76"/>
        <v>3573</v>
      </c>
      <c r="G885" s="1">
        <f t="shared" si="71"/>
        <v>850000</v>
      </c>
      <c r="H885" s="2">
        <f t="shared" si="72"/>
        <v>212</v>
      </c>
      <c r="I885" s="2">
        <f t="shared" si="73"/>
        <v>8</v>
      </c>
      <c r="J885">
        <f t="shared" si="74"/>
        <v>148</v>
      </c>
    </row>
    <row r="886" spans="1:10" x14ac:dyDescent="0.2">
      <c r="A886" t="s">
        <v>2518</v>
      </c>
      <c r="B886" t="s">
        <v>125</v>
      </c>
      <c r="C886" t="s">
        <v>2519</v>
      </c>
      <c r="D886" t="s">
        <v>987</v>
      </c>
      <c r="E886" t="s">
        <v>2520</v>
      </c>
      <c r="F886" s="2">
        <f t="shared" si="76"/>
        <v>3572</v>
      </c>
      <c r="G886" s="1">
        <f t="shared" si="71"/>
        <v>849000</v>
      </c>
      <c r="H886" s="2">
        <f t="shared" si="72"/>
        <v>212</v>
      </c>
      <c r="I886" s="2">
        <f t="shared" si="73"/>
        <v>8</v>
      </c>
      <c r="J886">
        <f t="shared" si="74"/>
        <v>64</v>
      </c>
    </row>
    <row r="887" spans="1:10" x14ac:dyDescent="0.2">
      <c r="A887" t="s">
        <v>632</v>
      </c>
      <c r="B887" t="s">
        <v>143</v>
      </c>
      <c r="C887" t="s">
        <v>633</v>
      </c>
      <c r="D887" t="s">
        <v>634</v>
      </c>
      <c r="E887" t="s">
        <v>635</v>
      </c>
      <c r="F887" s="2">
        <f t="shared" si="76"/>
        <v>3543</v>
      </c>
      <c r="G887" s="1">
        <f t="shared" si="71"/>
        <v>775000</v>
      </c>
      <c r="H887" s="2">
        <f t="shared" si="72"/>
        <v>213</v>
      </c>
      <c r="I887" s="2">
        <f t="shared" si="73"/>
        <v>8</v>
      </c>
      <c r="J887">
        <f t="shared" si="74"/>
        <v>453</v>
      </c>
    </row>
    <row r="888" spans="1:10" x14ac:dyDescent="0.2">
      <c r="A888" t="s">
        <v>1151</v>
      </c>
      <c r="B888" t="s">
        <v>204</v>
      </c>
      <c r="C888" t="s">
        <v>1152</v>
      </c>
      <c r="D888" t="s">
        <v>716</v>
      </c>
      <c r="E888" t="s">
        <v>1153</v>
      </c>
      <c r="F888" s="2">
        <f t="shared" si="76"/>
        <v>3512</v>
      </c>
      <c r="G888" s="1">
        <f t="shared" si="71"/>
        <v>985000</v>
      </c>
      <c r="H888" s="2">
        <f t="shared" si="72"/>
        <v>218</v>
      </c>
      <c r="I888" s="2">
        <f t="shared" si="73"/>
        <v>8</v>
      </c>
      <c r="J888">
        <f t="shared" si="74"/>
        <v>87</v>
      </c>
    </row>
    <row r="889" spans="1:10" x14ac:dyDescent="0.2">
      <c r="A889" t="s">
        <v>1745</v>
      </c>
      <c r="B889" t="s">
        <v>254</v>
      </c>
      <c r="C889" t="s">
        <v>1746</v>
      </c>
      <c r="D889" t="s">
        <v>1668</v>
      </c>
      <c r="E889" t="s">
        <v>1747</v>
      </c>
      <c r="F889" s="2">
        <f t="shared" si="76"/>
        <v>3583</v>
      </c>
      <c r="G889" s="1">
        <f t="shared" si="71"/>
        <v>1150000</v>
      </c>
      <c r="H889" s="2">
        <f t="shared" si="72"/>
        <v>221</v>
      </c>
      <c r="I889" s="2">
        <f t="shared" si="73"/>
        <v>8</v>
      </c>
      <c r="J889">
        <f t="shared" si="74"/>
        <v>144</v>
      </c>
    </row>
    <row r="890" spans="1:10" x14ac:dyDescent="0.2">
      <c r="A890" t="s">
        <v>714</v>
      </c>
      <c r="B890" t="s">
        <v>115</v>
      </c>
      <c r="C890" t="s">
        <v>715</v>
      </c>
      <c r="D890" t="s">
        <v>716</v>
      </c>
      <c r="E890" t="s">
        <v>717</v>
      </c>
      <c r="F890" s="2">
        <f t="shared" si="76"/>
        <v>3581</v>
      </c>
      <c r="G890" s="1">
        <f t="shared" si="71"/>
        <v>985000</v>
      </c>
      <c r="H890" s="2">
        <f t="shared" si="72"/>
        <v>223</v>
      </c>
      <c r="I890" s="2">
        <f t="shared" si="73"/>
        <v>8</v>
      </c>
      <c r="J890">
        <f t="shared" si="74"/>
        <v>169</v>
      </c>
    </row>
    <row r="891" spans="1:10" x14ac:dyDescent="0.2">
      <c r="A891" t="s">
        <v>186</v>
      </c>
      <c r="B891" t="s">
        <v>187</v>
      </c>
      <c r="C891" t="s">
        <v>188</v>
      </c>
      <c r="D891" t="s">
        <v>189</v>
      </c>
      <c r="E891" t="s">
        <v>190</v>
      </c>
      <c r="F891" s="2">
        <f t="shared" si="76"/>
        <v>3512</v>
      </c>
      <c r="G891" s="1">
        <f t="shared" si="71"/>
        <v>1095000</v>
      </c>
      <c r="H891" s="2">
        <f t="shared" si="72"/>
        <v>225</v>
      </c>
      <c r="I891" s="2">
        <f t="shared" si="73"/>
        <v>0</v>
      </c>
      <c r="J891">
        <f t="shared" si="74"/>
        <v>0</v>
      </c>
    </row>
    <row r="892" spans="1:10" x14ac:dyDescent="0.2">
      <c r="A892" t="s">
        <v>484</v>
      </c>
      <c r="B892" t="s">
        <v>485</v>
      </c>
      <c r="C892" t="s">
        <v>486</v>
      </c>
      <c r="D892" t="s">
        <v>487</v>
      </c>
      <c r="E892" t="s">
        <v>488</v>
      </c>
      <c r="F892" s="2">
        <f t="shared" si="76"/>
        <v>3546</v>
      </c>
      <c r="G892" s="1">
        <f t="shared" si="71"/>
        <v>1845000</v>
      </c>
      <c r="H892" s="2">
        <f t="shared" si="72"/>
        <v>225</v>
      </c>
      <c r="I892" s="2">
        <f t="shared" si="73"/>
        <v>8</v>
      </c>
      <c r="J892">
        <f t="shared" si="74"/>
        <v>9565</v>
      </c>
    </row>
    <row r="893" spans="1:10" x14ac:dyDescent="0.2">
      <c r="A893" t="s">
        <v>1670</v>
      </c>
      <c r="B893" t="s">
        <v>485</v>
      </c>
      <c r="C893" t="s">
        <v>1671</v>
      </c>
      <c r="D893" t="s">
        <v>1672</v>
      </c>
      <c r="E893" t="s">
        <v>1673</v>
      </c>
      <c r="F893" s="2">
        <f t="shared" si="76"/>
        <v>3572</v>
      </c>
      <c r="G893" s="1">
        <f t="shared" si="71"/>
        <v>845000</v>
      </c>
      <c r="H893" s="2">
        <f t="shared" si="72"/>
        <v>226</v>
      </c>
      <c r="I893" s="2">
        <f t="shared" si="73"/>
        <v>8</v>
      </c>
      <c r="J893">
        <f t="shared" si="74"/>
        <v>126</v>
      </c>
    </row>
    <row r="894" spans="1:10" x14ac:dyDescent="0.2">
      <c r="A894" t="s">
        <v>2465</v>
      </c>
      <c r="B894" t="s">
        <v>157</v>
      </c>
      <c r="C894" t="s">
        <v>2466</v>
      </c>
      <c r="D894" t="s">
        <v>1016</v>
      </c>
      <c r="E894" t="s">
        <v>2467</v>
      </c>
      <c r="F894" s="2">
        <f t="shared" si="76"/>
        <v>3583</v>
      </c>
      <c r="G894" s="1">
        <f t="shared" si="71"/>
        <v>900000</v>
      </c>
      <c r="H894" s="2">
        <f t="shared" si="72"/>
        <v>228</v>
      </c>
      <c r="I894" s="2">
        <f t="shared" si="73"/>
        <v>8</v>
      </c>
      <c r="J894">
        <f t="shared" si="74"/>
        <v>152</v>
      </c>
    </row>
    <row r="895" spans="1:10" x14ac:dyDescent="0.2">
      <c r="A895" t="s">
        <v>2078</v>
      </c>
      <c r="B895" t="s">
        <v>97</v>
      </c>
      <c r="C895" t="s">
        <v>2079</v>
      </c>
      <c r="D895" t="s">
        <v>2080</v>
      </c>
      <c r="E895" t="s">
        <v>2081</v>
      </c>
      <c r="F895" s="2">
        <f t="shared" si="76"/>
        <v>3543</v>
      </c>
      <c r="G895" s="1">
        <f t="shared" si="71"/>
        <v>999000</v>
      </c>
      <c r="H895" s="2">
        <f t="shared" si="72"/>
        <v>232</v>
      </c>
      <c r="I895" s="2">
        <f t="shared" si="73"/>
        <v>8</v>
      </c>
      <c r="J895">
        <f t="shared" si="74"/>
        <v>437</v>
      </c>
    </row>
    <row r="896" spans="1:10" x14ac:dyDescent="0.2">
      <c r="A896" t="s">
        <v>2392</v>
      </c>
      <c r="B896" t="s">
        <v>792</v>
      </c>
      <c r="C896" t="s">
        <v>2393</v>
      </c>
      <c r="D896" t="s">
        <v>2394</v>
      </c>
      <c r="E896" t="s">
        <v>2395</v>
      </c>
      <c r="F896" s="2">
        <f t="shared" si="76"/>
        <v>3572</v>
      </c>
      <c r="G896" s="1">
        <f t="shared" si="71"/>
        <v>928000</v>
      </c>
      <c r="H896" s="2">
        <f t="shared" si="72"/>
        <v>232</v>
      </c>
      <c r="I896" s="2">
        <f t="shared" si="73"/>
        <v>0</v>
      </c>
      <c r="J896">
        <f t="shared" si="74"/>
        <v>0</v>
      </c>
    </row>
    <row r="897" spans="1:10" x14ac:dyDescent="0.2">
      <c r="A897" t="s">
        <v>1381</v>
      </c>
      <c r="B897" t="s">
        <v>157</v>
      </c>
      <c r="C897" t="s">
        <v>1382</v>
      </c>
      <c r="D897" t="s">
        <v>1383</v>
      </c>
      <c r="E897" t="s">
        <v>1384</v>
      </c>
      <c r="F897" s="2">
        <f t="shared" si="76"/>
        <v>3584</v>
      </c>
      <c r="G897" s="1">
        <f t="shared" si="71"/>
        <v>1285000</v>
      </c>
      <c r="H897" s="2">
        <f t="shared" si="72"/>
        <v>235</v>
      </c>
      <c r="I897" s="2">
        <f t="shared" si="73"/>
        <v>8</v>
      </c>
      <c r="J897">
        <f t="shared" si="74"/>
        <v>733</v>
      </c>
    </row>
    <row r="898" spans="1:10" x14ac:dyDescent="0.2">
      <c r="A898" t="s">
        <v>1686</v>
      </c>
      <c r="B898" t="s">
        <v>502</v>
      </c>
      <c r="C898" t="s">
        <v>1687</v>
      </c>
      <c r="D898" t="s">
        <v>23</v>
      </c>
      <c r="E898" t="s">
        <v>1688</v>
      </c>
      <c r="F898" s="2">
        <f t="shared" si="76"/>
        <v>3585</v>
      </c>
      <c r="G898" s="1">
        <f t="shared" ref="G898:G937" si="77">VALUE(MID(D898,3,FIND(" ",D898,3)-3))</f>
        <v>875000</v>
      </c>
      <c r="H898" s="2">
        <f t="shared" ref="H898:H937" si="78">VALUE(LEFT(E898,FIND(" ",E898,1)-1))</f>
        <v>235</v>
      </c>
      <c r="I898" s="2">
        <f t="shared" ref="I898:I937" si="79">IFERROR(FIND("/",E898,1),0)</f>
        <v>8</v>
      </c>
      <c r="J898">
        <f t="shared" ref="J898:J961" si="80">IF(I898=0,0,VALUE(MID(E898,FIND("/",E898,1)+2,(FIND(" ",E898,FIND("/",E898,1)+2)-(FIND("/",E898,1))-1))))</f>
        <v>1930</v>
      </c>
    </row>
    <row r="899" spans="1:10" x14ac:dyDescent="0.2">
      <c r="A899" t="s">
        <v>2678</v>
      </c>
      <c r="B899" t="s">
        <v>575</v>
      </c>
      <c r="C899" t="s">
        <v>2679</v>
      </c>
      <c r="D899" t="s">
        <v>716</v>
      </c>
      <c r="E899" t="s">
        <v>2680</v>
      </c>
      <c r="F899" s="2">
        <f t="shared" si="76"/>
        <v>3512</v>
      </c>
      <c r="G899" s="1">
        <f t="shared" si="77"/>
        <v>985000</v>
      </c>
      <c r="H899" s="2">
        <f t="shared" si="78"/>
        <v>236</v>
      </c>
      <c r="I899" s="2">
        <f t="shared" si="79"/>
        <v>8</v>
      </c>
      <c r="J899">
        <f t="shared" si="80"/>
        <v>67</v>
      </c>
    </row>
    <row r="900" spans="1:10" x14ac:dyDescent="0.2">
      <c r="A900" t="s">
        <v>2318</v>
      </c>
      <c r="B900" t="s">
        <v>21</v>
      </c>
      <c r="C900" t="s">
        <v>2319</v>
      </c>
      <c r="D900" t="s">
        <v>2320</v>
      </c>
      <c r="E900" t="s">
        <v>2321</v>
      </c>
      <c r="F900" s="2">
        <v>3541</v>
      </c>
      <c r="G900" s="1">
        <f t="shared" si="77"/>
        <v>1140000</v>
      </c>
      <c r="H900" s="2">
        <f t="shared" si="78"/>
        <v>237</v>
      </c>
      <c r="I900" s="2">
        <f t="shared" si="79"/>
        <v>0</v>
      </c>
      <c r="J900">
        <f t="shared" si="80"/>
        <v>0</v>
      </c>
    </row>
    <row r="901" spans="1:10" x14ac:dyDescent="0.2">
      <c r="A901" t="s">
        <v>1373</v>
      </c>
      <c r="B901" t="s">
        <v>245</v>
      </c>
      <c r="C901" t="s">
        <v>1374</v>
      </c>
      <c r="D901" t="s">
        <v>1375</v>
      </c>
      <c r="E901" t="s">
        <v>1376</v>
      </c>
      <c r="F901" s="2">
        <f t="shared" ref="F901:F937" si="81">VALUE(LEFT(RIGHT(C901,15),4))</f>
        <v>3543</v>
      </c>
      <c r="G901" s="1">
        <f t="shared" si="77"/>
        <v>749000</v>
      </c>
      <c r="H901" s="2">
        <f t="shared" si="78"/>
        <v>240</v>
      </c>
      <c r="I901" s="2">
        <f t="shared" si="79"/>
        <v>8</v>
      </c>
      <c r="J901">
        <f t="shared" si="80"/>
        <v>457</v>
      </c>
    </row>
    <row r="902" spans="1:10" x14ac:dyDescent="0.2">
      <c r="A902" t="s">
        <v>2753</v>
      </c>
      <c r="B902" t="s">
        <v>485</v>
      </c>
      <c r="C902" t="s">
        <v>2754</v>
      </c>
      <c r="D902" t="s">
        <v>2755</v>
      </c>
      <c r="E902" t="s">
        <v>2756</v>
      </c>
      <c r="F902" s="2">
        <f t="shared" si="81"/>
        <v>3521</v>
      </c>
      <c r="G902" s="1">
        <f t="shared" si="77"/>
        <v>785000</v>
      </c>
      <c r="H902" s="2">
        <f t="shared" si="78"/>
        <v>245</v>
      </c>
      <c r="I902" s="2">
        <f t="shared" si="79"/>
        <v>8</v>
      </c>
      <c r="J902">
        <f t="shared" si="80"/>
        <v>126</v>
      </c>
    </row>
    <row r="903" spans="1:10" x14ac:dyDescent="0.2">
      <c r="A903" t="s">
        <v>2446</v>
      </c>
      <c r="B903" t="s">
        <v>485</v>
      </c>
      <c r="C903" t="s">
        <v>2447</v>
      </c>
      <c r="D903" t="s">
        <v>2448</v>
      </c>
      <c r="E903" t="s">
        <v>2449</v>
      </c>
      <c r="F903" s="2">
        <f t="shared" si="81"/>
        <v>3511</v>
      </c>
      <c r="G903" s="1">
        <f t="shared" si="77"/>
        <v>1275000</v>
      </c>
      <c r="H903" s="2">
        <f t="shared" si="78"/>
        <v>246</v>
      </c>
      <c r="I903" s="2">
        <f t="shared" si="79"/>
        <v>8</v>
      </c>
      <c r="J903">
        <f t="shared" si="80"/>
        <v>116</v>
      </c>
    </row>
    <row r="904" spans="1:10" x14ac:dyDescent="0.2">
      <c r="A904" t="s">
        <v>1185</v>
      </c>
      <c r="B904" t="s">
        <v>524</v>
      </c>
      <c r="C904" t="s">
        <v>1186</v>
      </c>
      <c r="D904" t="s">
        <v>1187</v>
      </c>
      <c r="E904" t="s">
        <v>1188</v>
      </c>
      <c r="F904" s="2">
        <f t="shared" si="81"/>
        <v>3572</v>
      </c>
      <c r="G904" s="1">
        <f t="shared" si="77"/>
        <v>1250000</v>
      </c>
      <c r="H904" s="2">
        <f t="shared" si="78"/>
        <v>247</v>
      </c>
      <c r="I904" s="2">
        <f t="shared" si="79"/>
        <v>8</v>
      </c>
      <c r="J904">
        <f t="shared" si="80"/>
        <v>161</v>
      </c>
    </row>
    <row r="905" spans="1:10" x14ac:dyDescent="0.2">
      <c r="A905" t="s">
        <v>1666</v>
      </c>
      <c r="B905" t="s">
        <v>102</v>
      </c>
      <c r="C905" t="s">
        <v>1667</v>
      </c>
      <c r="D905" t="s">
        <v>1668</v>
      </c>
      <c r="E905" t="s">
        <v>1669</v>
      </c>
      <c r="F905" s="2">
        <f t="shared" si="81"/>
        <v>3572</v>
      </c>
      <c r="G905" s="1">
        <f t="shared" si="77"/>
        <v>1150000</v>
      </c>
      <c r="H905" s="2">
        <f t="shared" si="78"/>
        <v>252</v>
      </c>
      <c r="I905" s="2">
        <f t="shared" si="79"/>
        <v>8</v>
      </c>
      <c r="J905">
        <f t="shared" si="80"/>
        <v>161</v>
      </c>
    </row>
    <row r="906" spans="1:10" x14ac:dyDescent="0.2">
      <c r="A906" t="s">
        <v>2410</v>
      </c>
      <c r="B906" t="s">
        <v>240</v>
      </c>
      <c r="C906" t="s">
        <v>2411</v>
      </c>
      <c r="D906" t="s">
        <v>2412</v>
      </c>
      <c r="E906" t="s">
        <v>2413</v>
      </c>
      <c r="F906" s="2">
        <f t="shared" si="81"/>
        <v>3511</v>
      </c>
      <c r="G906" s="1">
        <f t="shared" si="77"/>
        <v>1500000</v>
      </c>
      <c r="H906" s="2">
        <f t="shared" si="78"/>
        <v>258</v>
      </c>
      <c r="I906" s="2">
        <f t="shared" si="79"/>
        <v>8</v>
      </c>
      <c r="J906">
        <f t="shared" si="80"/>
        <v>114</v>
      </c>
    </row>
    <row r="907" spans="1:10" x14ac:dyDescent="0.2">
      <c r="A907" t="s">
        <v>1692</v>
      </c>
      <c r="B907" t="s">
        <v>120</v>
      </c>
      <c r="C907" t="s">
        <v>1693</v>
      </c>
      <c r="D907" t="s">
        <v>1694</v>
      </c>
      <c r="E907" t="s">
        <v>1695</v>
      </c>
      <c r="F907" s="2">
        <f t="shared" si="81"/>
        <v>3511</v>
      </c>
      <c r="G907" s="1">
        <f t="shared" si="77"/>
        <v>1345000</v>
      </c>
      <c r="H907" s="2">
        <f t="shared" si="78"/>
        <v>260</v>
      </c>
      <c r="I907" s="2">
        <f t="shared" si="79"/>
        <v>8</v>
      </c>
      <c r="J907">
        <f t="shared" si="80"/>
        <v>100</v>
      </c>
    </row>
    <row r="908" spans="1:10" x14ac:dyDescent="0.2">
      <c r="A908" t="s">
        <v>2690</v>
      </c>
      <c r="B908" t="s">
        <v>536</v>
      </c>
      <c r="C908" t="s">
        <v>2691</v>
      </c>
      <c r="D908" t="s">
        <v>710</v>
      </c>
      <c r="E908" t="s">
        <v>2692</v>
      </c>
      <c r="F908" s="2">
        <f t="shared" si="81"/>
        <v>3511</v>
      </c>
      <c r="G908" s="1">
        <f t="shared" si="77"/>
        <v>595000</v>
      </c>
      <c r="H908" s="2">
        <f t="shared" si="78"/>
        <v>268</v>
      </c>
      <c r="I908" s="2">
        <f t="shared" si="79"/>
        <v>0</v>
      </c>
      <c r="J908">
        <f t="shared" si="80"/>
        <v>0</v>
      </c>
    </row>
    <row r="909" spans="1:10" x14ac:dyDescent="0.2">
      <c r="A909" t="s">
        <v>1843</v>
      </c>
      <c r="B909" t="s">
        <v>21</v>
      </c>
      <c r="C909" t="s">
        <v>1844</v>
      </c>
      <c r="D909" t="s">
        <v>1586</v>
      </c>
      <c r="E909" t="s">
        <v>1845</v>
      </c>
      <c r="F909" s="2">
        <f t="shared" si="81"/>
        <v>3581</v>
      </c>
      <c r="G909" s="1">
        <f t="shared" si="77"/>
        <v>1675000</v>
      </c>
      <c r="H909" s="2">
        <f t="shared" si="78"/>
        <v>290</v>
      </c>
      <c r="I909" s="2">
        <f t="shared" si="79"/>
        <v>8</v>
      </c>
      <c r="J909">
        <f t="shared" si="80"/>
        <v>515</v>
      </c>
    </row>
    <row r="910" spans="1:10" x14ac:dyDescent="0.2">
      <c r="A910" t="s">
        <v>2294</v>
      </c>
      <c r="B910" t="s">
        <v>575</v>
      </c>
      <c r="C910" t="s">
        <v>2295</v>
      </c>
      <c r="D910" t="s">
        <v>510</v>
      </c>
      <c r="E910" t="s">
        <v>2296</v>
      </c>
      <c r="F910" s="2">
        <f t="shared" si="81"/>
        <v>3555</v>
      </c>
      <c r="G910" s="1">
        <f t="shared" si="77"/>
        <v>895000</v>
      </c>
      <c r="H910" s="2">
        <f t="shared" si="78"/>
        <v>293</v>
      </c>
      <c r="I910" s="2">
        <f t="shared" si="79"/>
        <v>8</v>
      </c>
      <c r="J910">
        <f t="shared" si="80"/>
        <v>1168</v>
      </c>
    </row>
    <row r="911" spans="1:10" x14ac:dyDescent="0.2">
      <c r="A911" t="s">
        <v>1653</v>
      </c>
      <c r="B911" t="s">
        <v>294</v>
      </c>
      <c r="C911" t="s">
        <v>1654</v>
      </c>
      <c r="D911" t="s">
        <v>278</v>
      </c>
      <c r="E911" t="s">
        <v>1655</v>
      </c>
      <c r="F911" s="2">
        <f t="shared" si="81"/>
        <v>3544</v>
      </c>
      <c r="G911" s="1">
        <f t="shared" si="77"/>
        <v>725000</v>
      </c>
      <c r="H911" s="2">
        <f t="shared" si="78"/>
        <v>294</v>
      </c>
      <c r="I911" s="2">
        <f t="shared" si="79"/>
        <v>8</v>
      </c>
      <c r="J911">
        <f t="shared" si="80"/>
        <v>2744</v>
      </c>
    </row>
    <row r="912" spans="1:10" x14ac:dyDescent="0.2">
      <c r="A912" t="s">
        <v>1062</v>
      </c>
      <c r="B912" t="s">
        <v>306</v>
      </c>
      <c r="C912" t="s">
        <v>1063</v>
      </c>
      <c r="D912" t="s">
        <v>1064</v>
      </c>
      <c r="E912" t="s">
        <v>1065</v>
      </c>
      <c r="F912" s="2">
        <f t="shared" si="81"/>
        <v>3546</v>
      </c>
      <c r="G912" s="1">
        <f t="shared" si="77"/>
        <v>975000</v>
      </c>
      <c r="H912" s="2">
        <f t="shared" si="78"/>
        <v>297</v>
      </c>
      <c r="I912" s="2">
        <f t="shared" si="79"/>
        <v>8</v>
      </c>
      <c r="J912">
        <f t="shared" si="80"/>
        <v>1012</v>
      </c>
    </row>
    <row r="913" spans="1:10" x14ac:dyDescent="0.2">
      <c r="A913" t="s">
        <v>1864</v>
      </c>
      <c r="B913" t="s">
        <v>102</v>
      </c>
      <c r="C913" t="s">
        <v>1063</v>
      </c>
      <c r="D913" t="s">
        <v>1064</v>
      </c>
      <c r="E913" t="s">
        <v>1065</v>
      </c>
      <c r="F913" s="2">
        <f t="shared" si="81"/>
        <v>3546</v>
      </c>
      <c r="G913" s="1">
        <f t="shared" si="77"/>
        <v>975000</v>
      </c>
      <c r="H913" s="2">
        <f t="shared" si="78"/>
        <v>297</v>
      </c>
      <c r="I913" s="2">
        <f t="shared" si="79"/>
        <v>8</v>
      </c>
      <c r="J913">
        <f t="shared" si="80"/>
        <v>1012</v>
      </c>
    </row>
    <row r="914" spans="1:10" x14ac:dyDescent="0.2">
      <c r="A914" t="s">
        <v>1130</v>
      </c>
      <c r="B914" t="s">
        <v>120</v>
      </c>
      <c r="C914" t="s">
        <v>1131</v>
      </c>
      <c r="D914" t="s">
        <v>1132</v>
      </c>
      <c r="E914" t="s">
        <v>1133</v>
      </c>
      <c r="F914" s="2">
        <f t="shared" si="81"/>
        <v>3581</v>
      </c>
      <c r="G914" s="1">
        <f t="shared" si="77"/>
        <v>1395000</v>
      </c>
      <c r="H914" s="2">
        <f t="shared" si="78"/>
        <v>300</v>
      </c>
      <c r="I914" s="2">
        <f t="shared" si="79"/>
        <v>8</v>
      </c>
      <c r="J914">
        <f t="shared" si="80"/>
        <v>146</v>
      </c>
    </row>
    <row r="915" spans="1:10" x14ac:dyDescent="0.2">
      <c r="A915" t="s">
        <v>101</v>
      </c>
      <c r="B915" t="s">
        <v>102</v>
      </c>
      <c r="C915" t="s">
        <v>103</v>
      </c>
      <c r="D915" t="s">
        <v>104</v>
      </c>
      <c r="E915" t="s">
        <v>105</v>
      </c>
      <c r="F915" s="2">
        <f t="shared" si="81"/>
        <v>3512</v>
      </c>
      <c r="G915" s="1">
        <f t="shared" si="77"/>
        <v>1650000</v>
      </c>
      <c r="H915" s="2">
        <f t="shared" si="78"/>
        <v>304</v>
      </c>
      <c r="I915" s="2">
        <f t="shared" si="79"/>
        <v>0</v>
      </c>
      <c r="J915">
        <f t="shared" si="80"/>
        <v>0</v>
      </c>
    </row>
    <row r="916" spans="1:10" x14ac:dyDescent="0.2">
      <c r="A916" t="s">
        <v>1683</v>
      </c>
      <c r="B916" t="s">
        <v>204</v>
      </c>
      <c r="C916" t="s">
        <v>1684</v>
      </c>
      <c r="D916" t="s">
        <v>1187</v>
      </c>
      <c r="E916" t="s">
        <v>1685</v>
      </c>
      <c r="F916" s="2">
        <f t="shared" si="81"/>
        <v>3512</v>
      </c>
      <c r="G916" s="1">
        <f t="shared" si="77"/>
        <v>1250000</v>
      </c>
      <c r="H916" s="2">
        <f t="shared" si="78"/>
        <v>307</v>
      </c>
      <c r="I916" s="2">
        <f t="shared" si="79"/>
        <v>8</v>
      </c>
      <c r="J916">
        <f t="shared" si="80"/>
        <v>189</v>
      </c>
    </row>
    <row r="917" spans="1:10" x14ac:dyDescent="0.2">
      <c r="A917" t="s">
        <v>68</v>
      </c>
      <c r="B917" t="s">
        <v>69</v>
      </c>
      <c r="C917" t="s">
        <v>70</v>
      </c>
      <c r="D917" t="s">
        <v>71</v>
      </c>
      <c r="E917" t="s">
        <v>72</v>
      </c>
      <c r="F917" s="2">
        <f t="shared" si="81"/>
        <v>3512</v>
      </c>
      <c r="G917" s="1">
        <f t="shared" si="77"/>
        <v>1135000</v>
      </c>
      <c r="H917" s="2">
        <f t="shared" si="78"/>
        <v>308</v>
      </c>
      <c r="I917" s="2">
        <f t="shared" si="79"/>
        <v>0</v>
      </c>
      <c r="J917">
        <f t="shared" si="80"/>
        <v>0</v>
      </c>
    </row>
    <row r="918" spans="1:10" x14ac:dyDescent="0.2">
      <c r="A918" t="s">
        <v>832</v>
      </c>
      <c r="B918" t="s">
        <v>833</v>
      </c>
      <c r="C918" t="s">
        <v>834</v>
      </c>
      <c r="D918" t="s">
        <v>835</v>
      </c>
      <c r="E918" t="s">
        <v>836</v>
      </c>
      <c r="F918" s="2">
        <f t="shared" si="81"/>
        <v>3523</v>
      </c>
      <c r="G918" s="1">
        <f t="shared" si="77"/>
        <v>1200000</v>
      </c>
      <c r="H918" s="2">
        <f t="shared" si="78"/>
        <v>308</v>
      </c>
      <c r="I918" s="2">
        <f t="shared" si="79"/>
        <v>8</v>
      </c>
      <c r="J918">
        <f t="shared" si="80"/>
        <v>350</v>
      </c>
    </row>
    <row r="919" spans="1:10" x14ac:dyDescent="0.2">
      <c r="A919" t="s">
        <v>2067</v>
      </c>
      <c r="B919" t="s">
        <v>306</v>
      </c>
      <c r="C919" t="s">
        <v>2068</v>
      </c>
      <c r="D919" t="s">
        <v>2069</v>
      </c>
      <c r="E919" t="s">
        <v>2070</v>
      </c>
      <c r="F919" s="2">
        <f t="shared" si="81"/>
        <v>3512</v>
      </c>
      <c r="G919" s="1">
        <f t="shared" si="77"/>
        <v>1325000</v>
      </c>
      <c r="H919" s="2">
        <f t="shared" si="78"/>
        <v>326</v>
      </c>
      <c r="I919" s="2">
        <f t="shared" si="79"/>
        <v>8</v>
      </c>
      <c r="J919">
        <f t="shared" si="80"/>
        <v>175</v>
      </c>
    </row>
    <row r="920" spans="1:10" x14ac:dyDescent="0.2">
      <c r="A920" t="s">
        <v>2862</v>
      </c>
      <c r="B920" t="s">
        <v>102</v>
      </c>
      <c r="C920" t="s">
        <v>2863</v>
      </c>
      <c r="D920" t="s">
        <v>2864</v>
      </c>
      <c r="E920" t="s">
        <v>2865</v>
      </c>
      <c r="F920" s="2">
        <f t="shared" si="81"/>
        <v>3533</v>
      </c>
      <c r="G920" s="1">
        <f t="shared" si="77"/>
        <v>1750000</v>
      </c>
      <c r="H920" s="2">
        <f t="shared" si="78"/>
        <v>329</v>
      </c>
      <c r="I920" s="2">
        <f t="shared" si="79"/>
        <v>8</v>
      </c>
      <c r="J920">
        <f t="shared" si="80"/>
        <v>445</v>
      </c>
    </row>
    <row r="921" spans="1:10" x14ac:dyDescent="0.2">
      <c r="A921" t="s">
        <v>863</v>
      </c>
      <c r="B921" t="s">
        <v>120</v>
      </c>
      <c r="C921" t="s">
        <v>864</v>
      </c>
      <c r="D921" t="s">
        <v>865</v>
      </c>
      <c r="E921" t="s">
        <v>866</v>
      </c>
      <c r="F921" s="2">
        <f t="shared" si="81"/>
        <v>3583</v>
      </c>
      <c r="G921" s="1">
        <f t="shared" si="77"/>
        <v>1495000</v>
      </c>
      <c r="H921" s="2">
        <f t="shared" si="78"/>
        <v>330</v>
      </c>
      <c r="I921" s="2">
        <f t="shared" si="79"/>
        <v>8</v>
      </c>
      <c r="J921">
        <f t="shared" si="80"/>
        <v>230</v>
      </c>
    </row>
    <row r="922" spans="1:10" x14ac:dyDescent="0.2">
      <c r="A922" t="s">
        <v>1216</v>
      </c>
      <c r="B922" t="s">
        <v>40</v>
      </c>
      <c r="C922" t="s">
        <v>1217</v>
      </c>
      <c r="D922" t="s">
        <v>1218</v>
      </c>
      <c r="E922" t="s">
        <v>1219</v>
      </c>
      <c r="F922" s="2">
        <f t="shared" si="81"/>
        <v>3544</v>
      </c>
      <c r="G922" s="1">
        <f t="shared" si="77"/>
        <v>1375000</v>
      </c>
      <c r="H922" s="2">
        <f t="shared" si="78"/>
        <v>349</v>
      </c>
      <c r="I922" s="2">
        <f t="shared" si="79"/>
        <v>8</v>
      </c>
      <c r="J922">
        <f t="shared" si="80"/>
        <v>2070</v>
      </c>
    </row>
    <row r="923" spans="1:10" x14ac:dyDescent="0.2">
      <c r="A923" t="s">
        <v>1584</v>
      </c>
      <c r="B923" t="s">
        <v>21</v>
      </c>
      <c r="C923" t="s">
        <v>1585</v>
      </c>
      <c r="D923" t="s">
        <v>1586</v>
      </c>
      <c r="E923" t="s">
        <v>1587</v>
      </c>
      <c r="F923" s="2">
        <f t="shared" si="81"/>
        <v>3572</v>
      </c>
      <c r="G923" s="1">
        <f t="shared" si="77"/>
        <v>1675000</v>
      </c>
      <c r="H923" s="2">
        <f t="shared" si="78"/>
        <v>369</v>
      </c>
      <c r="I923" s="2">
        <f t="shared" si="79"/>
        <v>8</v>
      </c>
      <c r="J923">
        <f t="shared" si="80"/>
        <v>232</v>
      </c>
    </row>
    <row r="924" spans="1:10" x14ac:dyDescent="0.2">
      <c r="A924" t="s">
        <v>1514</v>
      </c>
      <c r="B924" t="s">
        <v>325</v>
      </c>
      <c r="C924" t="s">
        <v>1515</v>
      </c>
      <c r="D924" t="s">
        <v>1516</v>
      </c>
      <c r="E924" t="s">
        <v>1517</v>
      </c>
      <c r="F924" s="2">
        <f t="shared" si="81"/>
        <v>3511</v>
      </c>
      <c r="G924" s="1">
        <f t="shared" si="77"/>
        <v>1700000</v>
      </c>
      <c r="H924" s="2">
        <f t="shared" si="78"/>
        <v>375</v>
      </c>
      <c r="I924" s="2">
        <f t="shared" si="79"/>
        <v>8</v>
      </c>
      <c r="J924">
        <f t="shared" si="80"/>
        <v>136</v>
      </c>
    </row>
    <row r="925" spans="1:10" x14ac:dyDescent="0.2">
      <c r="A925" t="s">
        <v>2558</v>
      </c>
      <c r="B925" t="s">
        <v>229</v>
      </c>
      <c r="C925" t="s">
        <v>2559</v>
      </c>
      <c r="D925" t="s">
        <v>2560</v>
      </c>
      <c r="E925" t="s">
        <v>2561</v>
      </c>
      <c r="F925" s="2">
        <f t="shared" si="81"/>
        <v>3581</v>
      </c>
      <c r="G925" s="1">
        <f t="shared" si="77"/>
        <v>2400000</v>
      </c>
      <c r="H925" s="2">
        <f t="shared" si="78"/>
        <v>395</v>
      </c>
      <c r="I925" s="2">
        <f t="shared" si="79"/>
        <v>8</v>
      </c>
      <c r="J925">
        <f t="shared" si="80"/>
        <v>263</v>
      </c>
    </row>
    <row r="926" spans="1:10" x14ac:dyDescent="0.2">
      <c r="A926" t="s">
        <v>1164</v>
      </c>
      <c r="B926" t="s">
        <v>502</v>
      </c>
      <c r="C926" t="s">
        <v>1165</v>
      </c>
      <c r="D926" t="s">
        <v>1166</v>
      </c>
      <c r="E926" t="s">
        <v>1167</v>
      </c>
      <c r="F926" s="2">
        <f t="shared" si="81"/>
        <v>3512</v>
      </c>
      <c r="G926" s="1">
        <f t="shared" si="77"/>
        <v>1775000</v>
      </c>
      <c r="H926" s="2">
        <f t="shared" si="78"/>
        <v>399</v>
      </c>
      <c r="I926" s="2">
        <f t="shared" si="79"/>
        <v>8</v>
      </c>
      <c r="J926">
        <f t="shared" si="80"/>
        <v>196</v>
      </c>
    </row>
    <row r="927" spans="1:10" x14ac:dyDescent="0.2">
      <c r="A927" t="s">
        <v>1304</v>
      </c>
      <c r="B927" t="s">
        <v>1014</v>
      </c>
      <c r="C927" t="s">
        <v>1165</v>
      </c>
      <c r="D927" t="s">
        <v>1166</v>
      </c>
      <c r="E927" t="s">
        <v>1305</v>
      </c>
      <c r="F927" s="2">
        <f t="shared" si="81"/>
        <v>3512</v>
      </c>
      <c r="G927" s="1">
        <f t="shared" si="77"/>
        <v>1775000</v>
      </c>
      <c r="H927" s="2">
        <f t="shared" si="78"/>
        <v>399</v>
      </c>
      <c r="I927" s="2">
        <f t="shared" si="79"/>
        <v>8</v>
      </c>
      <c r="J927">
        <f t="shared" si="80"/>
        <v>196</v>
      </c>
    </row>
    <row r="928" spans="1:10" x14ac:dyDescent="0.2">
      <c r="A928" t="s">
        <v>2871</v>
      </c>
      <c r="B928" t="s">
        <v>240</v>
      </c>
      <c r="C928" t="s">
        <v>2872</v>
      </c>
      <c r="D928" t="s">
        <v>2873</v>
      </c>
      <c r="E928" t="s">
        <v>2874</v>
      </c>
      <c r="F928" s="2">
        <f t="shared" si="81"/>
        <v>3512</v>
      </c>
      <c r="G928" s="1">
        <f t="shared" si="77"/>
        <v>1900000</v>
      </c>
      <c r="H928" s="2">
        <f t="shared" si="78"/>
        <v>417</v>
      </c>
      <c r="I928" s="2">
        <f t="shared" si="79"/>
        <v>8</v>
      </c>
      <c r="J928">
        <f t="shared" si="80"/>
        <v>255</v>
      </c>
    </row>
    <row r="929" spans="1:10" x14ac:dyDescent="0.2">
      <c r="A929" t="s">
        <v>1366</v>
      </c>
      <c r="B929" t="s">
        <v>40</v>
      </c>
      <c r="C929" t="s">
        <v>1367</v>
      </c>
      <c r="D929" t="s">
        <v>1368</v>
      </c>
      <c r="E929" t="s">
        <v>1369</v>
      </c>
      <c r="F929" s="2">
        <f t="shared" si="81"/>
        <v>3581</v>
      </c>
      <c r="G929" s="1">
        <f t="shared" si="77"/>
        <v>2000000</v>
      </c>
      <c r="H929" s="2">
        <f t="shared" si="78"/>
        <v>432</v>
      </c>
      <c r="I929" s="2">
        <f t="shared" si="79"/>
        <v>8</v>
      </c>
      <c r="J929">
        <f t="shared" si="80"/>
        <v>530</v>
      </c>
    </row>
    <row r="930" spans="1:10" x14ac:dyDescent="0.2">
      <c r="A930" t="s">
        <v>1074</v>
      </c>
      <c r="B930" t="s">
        <v>175</v>
      </c>
      <c r="C930" t="s">
        <v>1075</v>
      </c>
      <c r="D930" t="s">
        <v>104</v>
      </c>
      <c r="E930" t="s">
        <v>1076</v>
      </c>
      <c r="F930" s="2">
        <f t="shared" si="81"/>
        <v>3546</v>
      </c>
      <c r="G930" s="1">
        <f t="shared" si="77"/>
        <v>1650000</v>
      </c>
      <c r="H930" s="2">
        <f t="shared" si="78"/>
        <v>779</v>
      </c>
      <c r="I930" s="2">
        <f t="shared" si="79"/>
        <v>8</v>
      </c>
      <c r="J930">
        <f t="shared" si="80"/>
        <v>7345</v>
      </c>
    </row>
    <row r="931" spans="1:10" x14ac:dyDescent="0.2">
      <c r="A931" t="s">
        <v>2414</v>
      </c>
      <c r="B931" t="s">
        <v>97</v>
      </c>
      <c r="C931" t="s">
        <v>2415</v>
      </c>
      <c r="D931" t="s">
        <v>2416</v>
      </c>
      <c r="E931" t="s">
        <v>2417</v>
      </c>
      <c r="F931" s="2">
        <f t="shared" si="81"/>
        <v>3572</v>
      </c>
      <c r="G931" s="1">
        <f t="shared" si="77"/>
        <v>3000000</v>
      </c>
      <c r="H931" s="2">
        <f t="shared" si="78"/>
        <v>1209</v>
      </c>
      <c r="I931" s="2">
        <f t="shared" si="79"/>
        <v>10</v>
      </c>
      <c r="J931">
        <f t="shared" si="80"/>
        <v>252</v>
      </c>
    </row>
    <row r="932" spans="1:10" x14ac:dyDescent="0.2">
      <c r="A932" t="s">
        <v>1430</v>
      </c>
      <c r="B932" t="s">
        <v>16</v>
      </c>
      <c r="C932" t="s">
        <v>1431</v>
      </c>
      <c r="D932" t="s">
        <v>168</v>
      </c>
      <c r="E932" t="s">
        <v>1432</v>
      </c>
      <c r="F932" s="2">
        <f t="shared" si="81"/>
        <v>3585</v>
      </c>
      <c r="G932" s="1">
        <f t="shared" si="77"/>
        <v>299500</v>
      </c>
      <c r="H932" s="2">
        <f t="shared" si="78"/>
        <v>1435</v>
      </c>
      <c r="I932" s="2">
        <f t="shared" si="79"/>
        <v>0</v>
      </c>
      <c r="J932">
        <f t="shared" si="80"/>
        <v>0</v>
      </c>
    </row>
    <row r="933" spans="1:10" x14ac:dyDescent="0.2">
      <c r="A933" t="s">
        <v>1293</v>
      </c>
      <c r="B933" t="s">
        <v>92</v>
      </c>
      <c r="C933" t="s">
        <v>1294</v>
      </c>
      <c r="D933" t="s">
        <v>1295</v>
      </c>
      <c r="E933" t="s">
        <v>1296</v>
      </c>
      <c r="F933" s="2">
        <f t="shared" si="81"/>
        <v>3546</v>
      </c>
      <c r="G933" s="1">
        <f t="shared" si="77"/>
        <v>625000</v>
      </c>
      <c r="H933" s="2">
        <f t="shared" si="78"/>
        <v>1950</v>
      </c>
      <c r="I933" s="2">
        <f t="shared" si="79"/>
        <v>0</v>
      </c>
      <c r="J933">
        <f t="shared" si="80"/>
        <v>0</v>
      </c>
    </row>
    <row r="934" spans="1:10" x14ac:dyDescent="0.2">
      <c r="A934" t="s">
        <v>1919</v>
      </c>
      <c r="B934" t="s">
        <v>92</v>
      </c>
      <c r="C934" t="s">
        <v>1294</v>
      </c>
      <c r="D934" t="s">
        <v>1295</v>
      </c>
      <c r="E934" t="s">
        <v>1296</v>
      </c>
      <c r="F934" s="2">
        <f t="shared" si="81"/>
        <v>3546</v>
      </c>
      <c r="G934" s="1">
        <f t="shared" si="77"/>
        <v>625000</v>
      </c>
      <c r="H934" s="2">
        <f t="shared" si="78"/>
        <v>1950</v>
      </c>
      <c r="I934" s="2">
        <f t="shared" si="79"/>
        <v>0</v>
      </c>
      <c r="J934">
        <f t="shared" si="80"/>
        <v>0</v>
      </c>
    </row>
    <row r="935" spans="1:10" x14ac:dyDescent="0.2">
      <c r="A935" t="s">
        <v>622</v>
      </c>
      <c r="B935" t="s">
        <v>294</v>
      </c>
      <c r="C935" t="s">
        <v>623</v>
      </c>
      <c r="D935" t="s">
        <v>624</v>
      </c>
      <c r="E935" t="s">
        <v>625</v>
      </c>
      <c r="F935" s="2">
        <f t="shared" si="81"/>
        <v>3544</v>
      </c>
      <c r="G935" s="1">
        <f t="shared" si="77"/>
        <v>700000</v>
      </c>
      <c r="H935" s="2">
        <f t="shared" si="78"/>
        <v>2100</v>
      </c>
      <c r="I935" s="2">
        <f t="shared" si="79"/>
        <v>0</v>
      </c>
      <c r="J935">
        <f t="shared" si="80"/>
        <v>0</v>
      </c>
    </row>
    <row r="936" spans="1:10" x14ac:dyDescent="0.2">
      <c r="A936" t="s">
        <v>30</v>
      </c>
      <c r="B936" t="s">
        <v>16</v>
      </c>
      <c r="C936" t="s">
        <v>31</v>
      </c>
      <c r="D936" t="s">
        <v>32</v>
      </c>
      <c r="E936" t="s">
        <v>33</v>
      </c>
      <c r="F936" s="2">
        <f t="shared" si="81"/>
        <v>3546</v>
      </c>
      <c r="G936" s="1">
        <f t="shared" si="77"/>
        <v>675000</v>
      </c>
      <c r="H936" s="2">
        <f t="shared" si="78"/>
        <v>2240</v>
      </c>
      <c r="I936" s="2">
        <f t="shared" si="79"/>
        <v>0</v>
      </c>
      <c r="J936">
        <f t="shared" si="80"/>
        <v>0</v>
      </c>
    </row>
    <row r="937" spans="1:10" x14ac:dyDescent="0.2">
      <c r="A937" t="s">
        <v>998</v>
      </c>
      <c r="B937" t="s">
        <v>16</v>
      </c>
      <c r="C937" t="s">
        <v>31</v>
      </c>
      <c r="D937" t="s">
        <v>32</v>
      </c>
      <c r="E937" t="s">
        <v>33</v>
      </c>
      <c r="F937" s="2">
        <f t="shared" si="81"/>
        <v>3546</v>
      </c>
      <c r="G937" s="1">
        <f t="shared" si="77"/>
        <v>675000</v>
      </c>
      <c r="H937" s="2">
        <f t="shared" si="78"/>
        <v>2240</v>
      </c>
      <c r="I937" s="2">
        <f t="shared" si="79"/>
        <v>0</v>
      </c>
      <c r="J937">
        <f t="shared" si="80"/>
        <v>0</v>
      </c>
    </row>
  </sheetData>
  <sortState ref="A2:J937">
    <sortCondition ref="H2:H9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funda_utrecht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 Looijenga</cp:lastModifiedBy>
  <dcterms:created xsi:type="dcterms:W3CDTF">2018-10-22T12:46:19Z</dcterms:created>
  <dcterms:modified xsi:type="dcterms:W3CDTF">2018-10-25T15:28:30Z</dcterms:modified>
</cp:coreProperties>
</file>